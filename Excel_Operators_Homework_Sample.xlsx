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fathi\Downloads\"/>
    </mc:Choice>
  </mc:AlternateContent>
  <xr:revisionPtr revIDLastSave="0" documentId="13_ncr:1_{AE11D6F4-AD72-4C09-BB2B-7A9E1C4876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s" sheetId="1" r:id="rId1"/>
    <sheet name="ANSWERS" sheetId="4" r:id="rId2"/>
    <sheet name="Homework" sheetId="2" r:id="rId3"/>
    <sheet name="Instructions" sheetId="3" r:id="rId4"/>
  </sheets>
  <definedNames>
    <definedName name="_xlnm._FilterDatabase" localSheetId="0" hidden="1">Employees!$A$1:$J$16</definedName>
    <definedName name="_xlnm._FilterDatabase" localSheetId="2" hidden="1">Homework!$A$1:$D$21</definedName>
    <definedName name="_xlnm._FilterDatabase" localSheetId="3" hidden="1">Instructions!$A$1:$A$6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4" l="1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A2" i="4"/>
  <c r="U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X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W2" i="4"/>
  <c r="S2" i="4"/>
  <c r="AE2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B2" i="4"/>
  <c r="AC2" i="4" s="1"/>
  <c r="AB3" i="4"/>
  <c r="AC3" i="4" s="1"/>
  <c r="AD3" i="4" s="1"/>
  <c r="AB4" i="4"/>
  <c r="AC4" i="4" s="1"/>
  <c r="AD4" i="4" s="1"/>
  <c r="AB5" i="4"/>
  <c r="AC5" i="4" s="1"/>
  <c r="AD5" i="4" s="1"/>
  <c r="AB6" i="4"/>
  <c r="AC6" i="4" s="1"/>
  <c r="AD6" i="4" s="1"/>
  <c r="AB7" i="4"/>
  <c r="AC7" i="4" s="1"/>
  <c r="AD7" i="4" s="1"/>
  <c r="AB8" i="4"/>
  <c r="AC8" i="4" s="1"/>
  <c r="AD8" i="4" s="1"/>
  <c r="AB9" i="4"/>
  <c r="AC9" i="4" s="1"/>
  <c r="AD9" i="4" s="1"/>
  <c r="AB10" i="4"/>
  <c r="AC10" i="4" s="1"/>
  <c r="AD10" i="4" s="1"/>
  <c r="AB11" i="4"/>
  <c r="AC11" i="4" s="1"/>
  <c r="AD11" i="4" s="1"/>
  <c r="AB12" i="4"/>
  <c r="AC12" i="4" s="1"/>
  <c r="AD12" i="4" s="1"/>
  <c r="AB13" i="4"/>
  <c r="AC13" i="4" s="1"/>
  <c r="AD13" i="4" s="1"/>
  <c r="AB14" i="4"/>
  <c r="AC14" i="4" s="1"/>
  <c r="AD14" i="4" s="1"/>
  <c r="AB15" i="4"/>
  <c r="AC15" i="4" s="1"/>
  <c r="AD15" i="4" s="1"/>
  <c r="AB16" i="4"/>
  <c r="AC16" i="4" s="1"/>
  <c r="AD16" i="4" s="1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Z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Y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Q2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2" i="4"/>
  <c r="AD2" i="4" l="1"/>
</calcChain>
</file>

<file path=xl/sharedStrings.xml><?xml version="1.0" encoding="utf-8"?>
<sst xmlns="http://schemas.openxmlformats.org/spreadsheetml/2006/main" count="203" uniqueCount="110">
  <si>
    <t>Employee_ID</t>
  </si>
  <si>
    <t>Employee_Name</t>
  </si>
  <si>
    <t>Department</t>
  </si>
  <si>
    <t>Location</t>
  </si>
  <si>
    <t>Salary</t>
  </si>
  <si>
    <t>Hire_Date</t>
  </si>
  <si>
    <t>Projects_Completed</t>
  </si>
  <si>
    <t>Training_Hours</t>
  </si>
  <si>
    <t>Attendance_Bonus_Eligible</t>
  </si>
  <si>
    <t>Performance_Target_Met</t>
  </si>
  <si>
    <t>Ava Rodriguez</t>
  </si>
  <si>
    <t>Finance</t>
  </si>
  <si>
    <t>Chennai</t>
  </si>
  <si>
    <t>David Johnson</t>
  </si>
  <si>
    <t>IT</t>
  </si>
  <si>
    <t>Bangalore</t>
  </si>
  <si>
    <t>Chris Wilson</t>
  </si>
  <si>
    <t>Emily Davis</t>
  </si>
  <si>
    <t>Sophia Brown</t>
  </si>
  <si>
    <t>HR</t>
  </si>
  <si>
    <t>Hyderabad</t>
  </si>
  <si>
    <t>Michael Smith</t>
  </si>
  <si>
    <t>Olivia Taylor</t>
  </si>
  <si>
    <t>James Anderson</t>
  </si>
  <si>
    <t>Marketing</t>
  </si>
  <si>
    <t>Pune</t>
  </si>
  <si>
    <t>Emma Thomas</t>
  </si>
  <si>
    <t>Daniel White</t>
  </si>
  <si>
    <t>Mia Martin</t>
  </si>
  <si>
    <t>Noah Clark</t>
  </si>
  <si>
    <t>Isabella Lewis</t>
  </si>
  <si>
    <t>Sales</t>
  </si>
  <si>
    <t>Kochi</t>
  </si>
  <si>
    <t>Ethan Walker</t>
  </si>
  <si>
    <t>Amelia Hall</t>
  </si>
  <si>
    <t>Question_No</t>
  </si>
  <si>
    <t>Topic</t>
  </si>
  <si>
    <t>Homework_Question</t>
  </si>
  <si>
    <t>Operator_or_Function</t>
  </si>
  <si>
    <t>Arithmetic</t>
  </si>
  <si>
    <t>Calculate annual salary assuming monthly salary is Salary / 12. Use arithmetic operators to calculate monthly salary in a new column.</t>
  </si>
  <si>
    <t>Arithmetic operators (+, -, *, /)</t>
  </si>
  <si>
    <t>Calculate a 10% salary increase for each employee.</t>
  </si>
  <si>
    <t>*</t>
  </si>
  <si>
    <t>Calculate the annual bonus as 8% of Salary.</t>
  </si>
  <si>
    <t>Calculate the difference between Salary and 60,000.</t>
  </si>
  <si>
    <t>-</t>
  </si>
  <si>
    <t>Calculate a project allowance of 1,500 per completed project.</t>
  </si>
  <si>
    <t>Comparison</t>
  </si>
  <si>
    <t>Return TRUE for employees whose Salary is greater than 80,000.</t>
  </si>
  <si>
    <t>&gt;</t>
  </si>
  <si>
    <t>Return TRUE for employees whose Salary is equal to 75,000.</t>
  </si>
  <si>
    <t>=</t>
  </si>
  <si>
    <t>Identify employees whose Salary is not equal to 70,000.</t>
  </si>
  <si>
    <t>&lt;&gt;</t>
  </si>
  <si>
    <t>Check whether Projects_Completed is greater than or equal to 4.</t>
  </si>
  <si>
    <t>&gt;=</t>
  </si>
  <si>
    <t>Check whether Training_Hours is less than 3.</t>
  </si>
  <si>
    <t>&lt;</t>
  </si>
  <si>
    <t>Logical</t>
  </si>
  <si>
    <t>Mark employees as eligible only when Salary is at least 75,000 AND Performance_Target_Met is 1.</t>
  </si>
  <si>
    <t>AND</t>
  </si>
  <si>
    <t>Mark employees as eligible when Department is Finance OR IT.</t>
  </si>
  <si>
    <t>OR</t>
  </si>
  <si>
    <t>Identify employees who are NOT eligible for an attendance bonus.</t>
  </si>
  <si>
    <t>NOT</t>
  </si>
  <si>
    <t>Return TRUE when Salary is at least 80,000 OR Projects_Completed is at least 4.</t>
  </si>
  <si>
    <t>Text</t>
  </si>
  <si>
    <t>Combine Employee_Name and Department into one cell, separated by a hyphen.</t>
  </si>
  <si>
    <t>&amp;</t>
  </si>
  <si>
    <t>Mixed</t>
  </si>
  <si>
    <t>Check whether the employee is in IT AND Salary is greater than 70,000.</t>
  </si>
  <si>
    <t>AND, =, &gt;</t>
  </si>
  <si>
    <t>Check whether the employee is in Finance OR salary is below 60,000.</t>
  </si>
  <si>
    <t>OR, =, &lt;</t>
  </si>
  <si>
    <t>Calculate a proposed salary after a 5% increase, then compare it with 80,000.</t>
  </si>
  <si>
    <t>*, +, &gt;</t>
  </si>
  <si>
    <t>Calculate a performance allowance of 2,000 if Performance_Target_Met is 1, otherwise 0. Use IF with a comparison operator.</t>
  </si>
  <si>
    <t>IF, =</t>
  </si>
  <si>
    <t>Create a final eligibility check: Salary &gt;= 75,000 AND (Attendance_Bonus_Eligible = 1 OR Performance_Target_Met = 1).</t>
  </si>
  <si>
    <t>AND, OR, &gt;=, =</t>
  </si>
  <si>
    <t>Excel Operators Homework</t>
  </si>
  <si>
    <t>Use the Employees sheet to answer the questions in the Homework sheet.</t>
  </si>
  <si>
    <t>Use Excel formulas where appropriate. Do not overwrite the original data.</t>
  </si>
  <si>
    <t>Assume Attendance_Bonus_Eligible and Performance_Target_Met use 1 = Yes and 0 = No.</t>
  </si>
  <si>
    <t>Suggested operators: +, -, *, /, ^, %, =, &gt;, &lt;, &gt;=, &lt;=, &lt;&gt;, &amp;, AND, OR, NOT.</t>
  </si>
  <si>
    <t>Save your completed workbook with your answers or add a separate Answers sheet.</t>
  </si>
  <si>
    <t>Upload the answer file to GitHub repository</t>
  </si>
  <si>
    <t>MONTHLY SALARY</t>
  </si>
  <si>
    <t>SALARY INCREASE 10%</t>
  </si>
  <si>
    <t>ANNUAL BONUS 8%</t>
  </si>
  <si>
    <t>SALARY AND 60000</t>
  </si>
  <si>
    <t>PROJECT ALLOWANCE</t>
  </si>
  <si>
    <t>SALARY &gt;80000</t>
  </si>
  <si>
    <t>SALARY=75000</t>
  </si>
  <si>
    <t>SALARY&lt;&gt;70000</t>
  </si>
  <si>
    <t>SALARY 75000&amp;TARGET MET 1</t>
  </si>
  <si>
    <t>DEPT.FINANCE OR IT</t>
  </si>
  <si>
    <t>SALARY 80000 OR PROJECTS</t>
  </si>
  <si>
    <t>COMBINE</t>
  </si>
  <si>
    <t>IT &amp;SALARY&gt;70000</t>
  </si>
  <si>
    <t>FINANCE OR SALARY</t>
  </si>
  <si>
    <t>PROPOSED SALARY</t>
  </si>
  <si>
    <t>PERFORMANCE ALLOWANCE</t>
  </si>
  <si>
    <t>FINAL ELIGIBILITY</t>
  </si>
  <si>
    <t>5%INCREASE</t>
  </si>
  <si>
    <t>COMPARE WITH 80000</t>
  </si>
  <si>
    <t>TRAINING HOURS &lt; 3</t>
  </si>
  <si>
    <t>NOT ELIGIBLE FOR ATTENDANCE  BONUS</t>
  </si>
  <si>
    <t>PROJECT COMPLETED&gt;=4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</si>
</sst>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₹&quot;#,##0.00"/>
    <numFmt numFmtId="165" formatCode="yyyy\-mm\-dd"/>
    <numFmt numFmtId="166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166" fontId="0" fillId="0" borderId="0" xfId="1" applyNumberFormat="1" applyFont="1"/>
    <xf numFmtId="166" fontId="0" fillId="0" borderId="0" xfId="0" applyNumberFormat="1" applyAlignment="1">
      <alignment vertical="top" wrapText="1"/>
    </xf>
  </cellXfs>
  <cellStyles count="2">
    <cellStyle name="Currency" xfId="1" builtinId="4"/>
    <cellStyle name="Normal" xfId="0" builtinId="0"/>
  </cellStyles>
  <dxfs count="33"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164" formatCode="&quot;₹&quot;#,##0.00"/>
      <alignment horizontal="general" vertical="top" textRotation="0" wrapText="1" indent="0" justifyLastLine="0" shrinkToFit="0" readingOrder="0"/>
    </dxf>
    <dxf>
      <numFmt numFmtId="164" formatCode="&quot;₹&quot;#,##0.00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164" formatCode="&quot;₹&quot;#,##0.00"/>
      <alignment horizontal="general" vertical="top" textRotation="0" wrapText="1" indent="0" justifyLastLine="0" shrinkToFit="0" readingOrder="0"/>
    </dxf>
    <dxf>
      <numFmt numFmtId="166" formatCode="&quot;$&quot;#,##0.00"/>
      <alignment horizontal="general" vertical="top" textRotation="0" wrapText="1" indent="0" justifyLastLine="0" shrinkToFit="0" readingOrder="0"/>
    </dxf>
    <dxf>
      <numFmt numFmtId="166" formatCode="&quot;$&quot;#,##0.00"/>
    </dxf>
    <dxf>
      <numFmt numFmtId="166" formatCode="&quot;$&quot;#,##0.0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5" formatCode="yyyy\-mm\-dd"/>
      <alignment horizontal="general" vertical="top" textRotation="0" wrapText="1" indent="0" justifyLastLine="0" shrinkToFit="0" readingOrder="0"/>
    </dxf>
    <dxf>
      <numFmt numFmtId="164" formatCode="&quot;₹&quot;#,##0.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5C4D5D-4147-4305-93FF-D4583FE939AD}" name="Table1" displayName="Table1" ref="B1:AF16" totalsRowShown="0" headerRowDxfId="32" dataDxfId="31">
  <tableColumns count="31">
    <tableColumn id="1" xr3:uid="{5E2688F7-F0B0-4216-9125-BF5739B87A52}" name="Employee_Name" dataDxfId="30"/>
    <tableColumn id="2" xr3:uid="{5B903AC6-91DF-4ECB-895B-24669C795042}" name="Department" dataDxfId="29"/>
    <tableColumn id="3" xr3:uid="{5FD8C21F-53B3-4B4E-99B6-F4900DB49330}" name="Location" dataDxfId="28"/>
    <tableColumn id="4" xr3:uid="{1E13E13D-CCB1-4EA7-9D9C-EAFF976B60C0}" name="Salary" dataDxfId="27"/>
    <tableColumn id="5" xr3:uid="{0ACC6C94-CE4C-4BE2-9743-D98C5458BEA8}" name="Hire_Date" dataDxfId="26"/>
    <tableColumn id="6" xr3:uid="{F7BFDF93-0E2A-4214-A69C-09D99AF1A0A4}" name="Projects_Completed" dataDxfId="25"/>
    <tableColumn id="7" xr3:uid="{444CBC9A-28CE-4D68-911A-6592D2A68586}" name="Training_Hours" dataDxfId="24"/>
    <tableColumn id="8" xr3:uid="{3E02803F-F957-435A-8A67-39F3A9B11214}" name="Attendance_Bonus_Eligible" dataDxfId="23"/>
    <tableColumn id="9" xr3:uid="{DB0AFF1E-103E-410C-9256-DB66A27A1B03}" name="Performance_Target_Met" dataDxfId="22"/>
    <tableColumn id="10" xr3:uid="{3448D9A4-3B52-499A-B7F3-E1C4C2B954CA}" name="MONTHLY SALARY" dataDxfId="21" dataCellStyle="Currency">
      <calculatedColumnFormula>E2/12</calculatedColumnFormula>
    </tableColumn>
    <tableColumn id="11" xr3:uid="{8BA63436-49E6-4A10-B084-3BD5D1A014FB}" name="SALARY INCREASE 10%" dataDxfId="20" dataCellStyle="Currency">
      <calculatedColumnFormula>E2*10%</calculatedColumnFormula>
    </tableColumn>
    <tableColumn id="12" xr3:uid="{D22D2712-75B7-457D-A6B7-C92F1D226193}" name="ANNUAL BONUS 8%" dataDxfId="19">
      <calculatedColumnFormula>Table1[[#This Row],[Salary]]*8%</calculatedColumnFormula>
    </tableColumn>
    <tableColumn id="13" xr3:uid="{0180B41A-3BDE-40D8-B859-F97BC06E51CC}" name="SALARY AND 60000" dataDxfId="18">
      <calculatedColumnFormula>Table1[[#This Row],[Salary]]-60000</calculatedColumnFormula>
    </tableColumn>
    <tableColumn id="14" xr3:uid="{02A63682-CDB9-4741-BCB8-9E8C641F844B}" name="PROJECT ALLOWANCE" dataDxfId="17">
      <calculatedColumnFormula>Table1[[#This Row],[Projects_Completed]]*1500</calculatedColumnFormula>
    </tableColumn>
    <tableColumn id="15" xr3:uid="{9122D7F2-E2E5-4D55-AC07-CBCB718EE706}" name="SALARY &gt;80000" dataDxfId="16">
      <calculatedColumnFormula>IF(Table1[[#This Row],[Salary]]&gt;80000,"true")</calculatedColumnFormula>
    </tableColumn>
    <tableColumn id="16" xr3:uid="{0E3C2800-A16F-4A6D-BFF3-6830FA688A40}" name="SALARY=75000" dataDxfId="15">
      <calculatedColumnFormula>IF(Table1[[#This Row],[Salary]]=75000,"TRUE")</calculatedColumnFormula>
    </tableColumn>
    <tableColumn id="17" xr3:uid="{5B79D90A-8C41-430C-B4CC-73F54506092B}" name="SALARY&lt;&gt;70000" dataDxfId="14">
      <calculatedColumnFormula>Table1[[#This Row],[Salary]]&lt;&gt;70000</calculatedColumnFormula>
    </tableColumn>
    <tableColumn id="18" xr3:uid="{3D2B54FC-7BF4-4BFC-BDA7-BE4FCF9E89AC}" name="PROJECT COMPLETED&gt;=4" dataDxfId="13">
      <calculatedColumnFormula>Table1[[#This Row],[Projects_Completed]]&gt;=4</calculatedColumnFormula>
    </tableColumn>
    <tableColumn id="19" xr3:uid="{14ABA160-E4A9-40C7-AA33-271DA9B9F369}" name="TRAINING HOURS &lt; 3" dataDxfId="12">
      <calculatedColumnFormula>Table1[[#This Row],[Training_Hours]]&lt;3</calculatedColumnFormula>
    </tableColumn>
    <tableColumn id="20" xr3:uid="{4EE4F4F8-D5BE-4DDD-AC70-2DD3CDFFF4BE}" name="SALARY 75000&amp;TARGET MET 1" dataDxfId="11">
      <calculatedColumnFormula>IF(AND(Table1[[#This Row],[Salary]]&gt;=75000,Table1[[#This Row],[Performance_Target_Met]]=1),"ELIGIBLE","NOT ELIGIBLE")</calculatedColumnFormula>
    </tableColumn>
    <tableColumn id="21" xr3:uid="{DF58C257-0FD1-4861-BBD6-00D38F963BBC}" name="DEPT.FINANCE OR IT" dataDxfId="10">
      <calculatedColumnFormula>IF(OR(Table1[[#This Row],[Department]]="FINANCE",Table1[[#This Row],[Department]]="IT"),"ELIGIBLE","NOT ELIGIBLE")</calculatedColumnFormula>
    </tableColumn>
    <tableColumn id="22" xr3:uid="{3F33FEA2-4DC9-4DBB-80EC-DA2D2223DA42}" name="NOT ELIGIBLE FOR ATTENDANCE  BONUS" dataDxfId="9">
      <calculatedColumnFormula>NOT(Table1[[#This Row],[Attendance_Bonus_Eligible]])</calculatedColumnFormula>
    </tableColumn>
    <tableColumn id="23" xr3:uid="{3B19155E-055D-4143-9236-4B0837D8DE70}" name="SALARY 80000 OR PROJECTS" dataDxfId="8">
      <calculatedColumnFormula>OR(Table1[[#This Row],[Salary]]&gt;=80000,Table1[[#This Row],[Projects_Completed]]&gt;=4)</calculatedColumnFormula>
    </tableColumn>
    <tableColumn id="27" xr3:uid="{2766B088-264E-499F-A9D5-3E378B9C8490}" name="COMBINE" dataDxfId="7">
      <calculatedColumnFormula>Table1[[#This Row],[Employee_Name]]&amp;"-"&amp;Table1[[#This Row],[Department]]</calculatedColumnFormula>
    </tableColumn>
    <tableColumn id="25" xr3:uid="{55FE3530-C421-436C-A779-B15E274432E2}" name="IT &amp;SALARY&gt;70000" dataDxfId="6">
      <calculatedColumnFormula>AND(Table1[[#This Row],[Department]]="IT",Table1[[#This Row],[Salary]]&gt;70000)</calculatedColumnFormula>
    </tableColumn>
    <tableColumn id="28" xr3:uid="{E68A0C2C-8E18-4376-80B5-87CEE26D2B64}" name="FINANCE OR SALARY" dataDxfId="5">
      <calculatedColumnFormula>OR(Table1[[#This Row],[Department]]="FINANCE",Table1[[#This Row],[Salary]]&lt;60000)</calculatedColumnFormula>
    </tableColumn>
    <tableColumn id="24" xr3:uid="{B5A15E37-AD4B-4102-A7D0-FAE5C37CAC17}" name="5%INCREASE" dataDxfId="4">
      <calculatedColumnFormula>Table1[[#This Row],[Salary]]*5%</calculatedColumnFormula>
    </tableColumn>
    <tableColumn id="29" xr3:uid="{05AD4E97-D93F-4B1B-B03E-6325C21036D2}" name="PROPOSED SALARY" dataDxfId="3">
      <calculatedColumnFormula>Table1[[#This Row],[Salary]]+Table1[[#This Row],[5%INCREASE]]</calculatedColumnFormula>
    </tableColumn>
    <tableColumn id="26" xr3:uid="{D390691B-0DC2-4465-9E43-4623EE5839B3}" name="COMPARE WITH 80000" dataDxfId="2">
      <calculatedColumnFormula>Table1[[#This Row],[PROPOSED SALARY]]&gt;80000</calculatedColumnFormula>
    </tableColumn>
    <tableColumn id="30" xr3:uid="{7D52F77C-A4F7-4970-9D06-FB7C3E0ACD9E}" name="PERFORMANCE ALLOWANCE" dataDxfId="1">
      <calculatedColumnFormula>IF(Table1[[#This Row],[Performance_Target_Met]]=1,"2000","0")</calculatedColumnFormula>
    </tableColumn>
    <tableColumn id="31" xr3:uid="{47D77412-7F54-480A-B9D6-546FE0689DF3}" name="FINAL ELIGIBILITY" dataDxfId="0">
      <calculatedColumnFormula>OR(Table1[[#This Row],[Attendance_Bonus_Eligible]]=1,Table1[[#This Row],[Performance_Target_Met]]=1,AND(Table1[[#This Row],[Salary]]&gt;=75000))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pane ySplit="1" topLeftCell="A2" activePane="bottomLeft" state="frozen"/>
      <selection pane="bottomLeft" sqref="A1:A16"/>
    </sheetView>
  </sheetViews>
  <sheetFormatPr defaultRowHeight="14.4" x14ac:dyDescent="0.3"/>
  <cols>
    <col min="1" max="1" width="14" customWidth="1"/>
    <col min="2" max="2" width="16" customWidth="1"/>
    <col min="3" max="5" width="14" customWidth="1"/>
    <col min="6" max="6" width="21" customWidth="1"/>
    <col min="7" max="7" width="20" customWidth="1"/>
    <col min="8" max="8" width="16" customWidth="1"/>
    <col min="9" max="9" width="27" customWidth="1"/>
    <col min="10" max="10" width="24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1001</v>
      </c>
      <c r="B2" s="2" t="s">
        <v>10</v>
      </c>
      <c r="C2" s="2" t="s">
        <v>11</v>
      </c>
      <c r="D2" s="2" t="s">
        <v>12</v>
      </c>
      <c r="E2" s="3">
        <v>93000</v>
      </c>
      <c r="F2" s="4">
        <v>42135</v>
      </c>
      <c r="G2" s="2">
        <v>5</v>
      </c>
      <c r="H2" s="2">
        <v>2</v>
      </c>
      <c r="I2" s="2">
        <v>1</v>
      </c>
      <c r="J2" s="2">
        <v>0</v>
      </c>
    </row>
    <row r="3" spans="1:10" x14ac:dyDescent="0.3">
      <c r="A3" s="2">
        <v>1002</v>
      </c>
      <c r="B3" s="2" t="s">
        <v>13</v>
      </c>
      <c r="C3" s="2" t="s">
        <v>14</v>
      </c>
      <c r="D3" s="2" t="s">
        <v>15</v>
      </c>
      <c r="E3" s="3">
        <v>67000</v>
      </c>
      <c r="F3" s="4">
        <v>43368</v>
      </c>
      <c r="G3" s="2">
        <v>3</v>
      </c>
      <c r="H3" s="2">
        <v>1</v>
      </c>
      <c r="I3" s="2">
        <v>0</v>
      </c>
      <c r="J3" s="2">
        <v>1</v>
      </c>
    </row>
    <row r="4" spans="1:10" x14ac:dyDescent="0.3">
      <c r="A4" s="2">
        <v>1003</v>
      </c>
      <c r="B4" s="2" t="s">
        <v>16</v>
      </c>
      <c r="C4" s="2" t="s">
        <v>11</v>
      </c>
      <c r="D4" s="2" t="s">
        <v>12</v>
      </c>
      <c r="E4" s="3">
        <v>85000</v>
      </c>
      <c r="F4" s="4">
        <v>44365</v>
      </c>
      <c r="G4" s="2">
        <v>4</v>
      </c>
      <c r="H4" s="2">
        <v>3</v>
      </c>
      <c r="I4" s="2">
        <v>1</v>
      </c>
      <c r="J4" s="2">
        <v>1</v>
      </c>
    </row>
    <row r="5" spans="1:10" x14ac:dyDescent="0.3">
      <c r="A5" s="2">
        <v>1004</v>
      </c>
      <c r="B5" s="2" t="s">
        <v>17</v>
      </c>
      <c r="C5" s="2" t="s">
        <v>14</v>
      </c>
      <c r="D5" s="2" t="s">
        <v>15</v>
      </c>
      <c r="E5" s="3">
        <v>71000</v>
      </c>
      <c r="F5" s="4">
        <v>42771</v>
      </c>
      <c r="G5" s="2">
        <v>2</v>
      </c>
      <c r="H5" s="2">
        <v>2</v>
      </c>
      <c r="I5" s="2">
        <v>0</v>
      </c>
      <c r="J5" s="2">
        <v>1</v>
      </c>
    </row>
    <row r="6" spans="1:10" x14ac:dyDescent="0.3">
      <c r="A6" s="2">
        <v>1005</v>
      </c>
      <c r="B6" s="2" t="s">
        <v>18</v>
      </c>
      <c r="C6" s="2" t="s">
        <v>19</v>
      </c>
      <c r="D6" s="2" t="s">
        <v>20</v>
      </c>
      <c r="E6" s="3">
        <v>58000</v>
      </c>
      <c r="F6" s="4">
        <v>43781</v>
      </c>
      <c r="G6" s="2">
        <v>2</v>
      </c>
      <c r="H6" s="2">
        <v>1</v>
      </c>
      <c r="I6" s="2">
        <v>0</v>
      </c>
      <c r="J6" s="2">
        <v>0</v>
      </c>
    </row>
    <row r="7" spans="1:10" x14ac:dyDescent="0.3">
      <c r="A7" s="2">
        <v>1006</v>
      </c>
      <c r="B7" s="2" t="s">
        <v>21</v>
      </c>
      <c r="C7" s="2" t="s">
        <v>14</v>
      </c>
      <c r="D7" s="2" t="s">
        <v>15</v>
      </c>
      <c r="E7" s="3">
        <v>88000</v>
      </c>
      <c r="F7" s="4">
        <v>42571</v>
      </c>
      <c r="G7" s="2">
        <v>5</v>
      </c>
      <c r="H7" s="2">
        <v>4</v>
      </c>
      <c r="I7" s="2">
        <v>1</v>
      </c>
      <c r="J7" s="2">
        <v>1</v>
      </c>
    </row>
    <row r="8" spans="1:10" x14ac:dyDescent="0.3">
      <c r="A8" s="2">
        <v>1007</v>
      </c>
      <c r="B8" s="2" t="s">
        <v>22</v>
      </c>
      <c r="C8" s="2" t="s">
        <v>19</v>
      </c>
      <c r="D8" s="2" t="s">
        <v>20</v>
      </c>
      <c r="E8" s="3">
        <v>62000</v>
      </c>
      <c r="F8" s="4">
        <v>44635</v>
      </c>
      <c r="G8" s="2">
        <v>3</v>
      </c>
      <c r="H8" s="2">
        <v>2</v>
      </c>
      <c r="I8" s="2">
        <v>0</v>
      </c>
      <c r="J8" s="2">
        <v>1</v>
      </c>
    </row>
    <row r="9" spans="1:10" x14ac:dyDescent="0.3">
      <c r="A9" s="2">
        <v>1008</v>
      </c>
      <c r="B9" s="2" t="s">
        <v>23</v>
      </c>
      <c r="C9" s="2" t="s">
        <v>24</v>
      </c>
      <c r="D9" s="2" t="s">
        <v>25</v>
      </c>
      <c r="E9" s="3">
        <v>75000</v>
      </c>
      <c r="F9" s="4">
        <v>43840</v>
      </c>
      <c r="G9" s="2">
        <v>4</v>
      </c>
      <c r="H9" s="2">
        <v>3</v>
      </c>
      <c r="I9" s="2">
        <v>1</v>
      </c>
      <c r="J9" s="2">
        <v>0</v>
      </c>
    </row>
    <row r="10" spans="1:10" x14ac:dyDescent="0.3">
      <c r="A10" s="2">
        <v>1009</v>
      </c>
      <c r="B10" s="2" t="s">
        <v>26</v>
      </c>
      <c r="C10" s="2" t="s">
        <v>11</v>
      </c>
      <c r="D10" s="2" t="s">
        <v>12</v>
      </c>
      <c r="E10" s="3">
        <v>79000</v>
      </c>
      <c r="F10" s="4">
        <v>43699</v>
      </c>
      <c r="G10" s="2">
        <v>3</v>
      </c>
      <c r="H10" s="2">
        <v>2</v>
      </c>
      <c r="I10" s="2">
        <v>0</v>
      </c>
      <c r="J10" s="2">
        <v>1</v>
      </c>
    </row>
    <row r="11" spans="1:10" x14ac:dyDescent="0.3">
      <c r="A11" s="2">
        <v>1010</v>
      </c>
      <c r="B11" s="2" t="s">
        <v>27</v>
      </c>
      <c r="C11" s="2" t="s">
        <v>24</v>
      </c>
      <c r="D11" s="2" t="s">
        <v>25</v>
      </c>
      <c r="E11" s="3">
        <v>69000</v>
      </c>
      <c r="F11" s="4">
        <v>43437</v>
      </c>
      <c r="G11" s="2">
        <v>2</v>
      </c>
      <c r="H11" s="2">
        <v>1</v>
      </c>
      <c r="I11" s="2">
        <v>0</v>
      </c>
      <c r="J11" s="2">
        <v>0</v>
      </c>
    </row>
    <row r="12" spans="1:10" x14ac:dyDescent="0.3">
      <c r="A12" s="2">
        <v>1011</v>
      </c>
      <c r="B12" s="2" t="s">
        <v>28</v>
      </c>
      <c r="C12" s="2" t="s">
        <v>14</v>
      </c>
      <c r="D12" s="2" t="s">
        <v>15</v>
      </c>
      <c r="E12" s="3">
        <v>95000</v>
      </c>
      <c r="F12" s="4">
        <v>41746</v>
      </c>
      <c r="G12" s="2">
        <v>5</v>
      </c>
      <c r="H12" s="2">
        <v>5</v>
      </c>
      <c r="I12" s="2">
        <v>1</v>
      </c>
      <c r="J12" s="2">
        <v>1</v>
      </c>
    </row>
    <row r="13" spans="1:10" x14ac:dyDescent="0.3">
      <c r="A13" s="2">
        <v>1012</v>
      </c>
      <c r="B13" s="2" t="s">
        <v>29</v>
      </c>
      <c r="C13" s="2" t="s">
        <v>19</v>
      </c>
      <c r="D13" s="2" t="s">
        <v>20</v>
      </c>
      <c r="E13" s="3">
        <v>54000</v>
      </c>
      <c r="F13" s="4">
        <v>45078</v>
      </c>
      <c r="G13" s="2">
        <v>1</v>
      </c>
      <c r="H13" s="2">
        <v>1</v>
      </c>
      <c r="I13" s="2">
        <v>0</v>
      </c>
      <c r="J13" s="2">
        <v>0</v>
      </c>
    </row>
    <row r="14" spans="1:10" x14ac:dyDescent="0.3">
      <c r="A14" s="2">
        <v>1013</v>
      </c>
      <c r="B14" s="2" t="s">
        <v>30</v>
      </c>
      <c r="C14" s="2" t="s">
        <v>31</v>
      </c>
      <c r="D14" s="2" t="s">
        <v>32</v>
      </c>
      <c r="E14" s="3">
        <v>72000</v>
      </c>
      <c r="F14" s="4">
        <v>44088</v>
      </c>
      <c r="G14" s="2">
        <v>4</v>
      </c>
      <c r="H14" s="2">
        <v>2</v>
      </c>
      <c r="I14" s="2">
        <v>1</v>
      </c>
      <c r="J14" s="2">
        <v>1</v>
      </c>
    </row>
    <row r="15" spans="1:10" x14ac:dyDescent="0.3">
      <c r="A15" s="2">
        <v>1014</v>
      </c>
      <c r="B15" s="2" t="s">
        <v>33</v>
      </c>
      <c r="C15" s="2" t="s">
        <v>31</v>
      </c>
      <c r="D15" s="2" t="s">
        <v>32</v>
      </c>
      <c r="E15" s="3">
        <v>81000</v>
      </c>
      <c r="F15" s="4">
        <v>43038</v>
      </c>
      <c r="G15" s="2">
        <v>3</v>
      </c>
      <c r="H15" s="2">
        <v>3</v>
      </c>
      <c r="I15" s="2">
        <v>0</v>
      </c>
      <c r="J15" s="2">
        <v>1</v>
      </c>
    </row>
    <row r="16" spans="1:10" x14ac:dyDescent="0.3">
      <c r="A16" s="2">
        <v>1015</v>
      </c>
      <c r="B16" s="2" t="s">
        <v>34</v>
      </c>
      <c r="C16" s="2" t="s">
        <v>11</v>
      </c>
      <c r="D16" s="2" t="s">
        <v>12</v>
      </c>
      <c r="E16" s="3">
        <v>66000</v>
      </c>
      <c r="F16" s="4">
        <v>44585</v>
      </c>
      <c r="G16" s="2">
        <v>2</v>
      </c>
      <c r="H16" s="2">
        <v>2</v>
      </c>
      <c r="I16" s="2">
        <v>1</v>
      </c>
      <c r="J16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6531-7998-4D14-9041-1C9022738F8A}">
  <dimension ref="A1:AF16"/>
  <sheetViews>
    <sheetView tabSelected="1" topLeftCell="N1" workbookViewId="0">
      <selection activeCell="AG2" sqref="AG2"/>
    </sheetView>
  </sheetViews>
  <sheetFormatPr defaultRowHeight="14.4" x14ac:dyDescent="0.3"/>
  <cols>
    <col min="1" max="1" width="13.21875" customWidth="1"/>
    <col min="2" max="2" width="17.21875" customWidth="1"/>
    <col min="3" max="3" width="13" customWidth="1"/>
    <col min="4" max="4" width="10.109375" customWidth="1"/>
    <col min="5" max="5" width="10" bestFit="1" customWidth="1"/>
    <col min="6" max="6" width="11.109375" customWidth="1"/>
    <col min="7" max="7" width="19.88671875" customWidth="1"/>
    <col min="8" max="8" width="15.5546875" customWidth="1"/>
    <col min="9" max="9" width="25.77734375" customWidth="1"/>
    <col min="10" max="10" width="24.5546875" customWidth="1"/>
    <col min="11" max="11" width="18.33203125" customWidth="1"/>
    <col min="12" max="12" width="22" customWidth="1"/>
    <col min="14" max="14" width="10" bestFit="1" customWidth="1"/>
    <col min="21" max="22" width="12.33203125" bestFit="1" customWidth="1"/>
    <col min="25" max="25" width="23.33203125" bestFit="1" customWidth="1"/>
    <col min="29" max="29" width="10" bestFit="1" customWidth="1"/>
    <col min="30" max="30" width="10" customWidth="1"/>
  </cols>
  <sheetData>
    <row r="1" spans="1:32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88</v>
      </c>
      <c r="L1" s="5" t="s">
        <v>89</v>
      </c>
      <c r="M1" s="6" t="s">
        <v>90</v>
      </c>
      <c r="N1" s="6" t="s">
        <v>91</v>
      </c>
      <c r="O1" s="6" t="s">
        <v>92</v>
      </c>
      <c r="P1" s="6" t="s">
        <v>93</v>
      </c>
      <c r="Q1" s="6" t="s">
        <v>94</v>
      </c>
      <c r="R1" s="6" t="s">
        <v>95</v>
      </c>
      <c r="S1" s="7" t="s">
        <v>109</v>
      </c>
      <c r="T1" s="7" t="s">
        <v>107</v>
      </c>
      <c r="U1" s="6" t="s">
        <v>96</v>
      </c>
      <c r="V1" s="6" t="s">
        <v>97</v>
      </c>
      <c r="W1" s="7" t="s">
        <v>108</v>
      </c>
      <c r="X1" s="6" t="s">
        <v>98</v>
      </c>
      <c r="Y1" s="7" t="s">
        <v>99</v>
      </c>
      <c r="Z1" s="7" t="s">
        <v>100</v>
      </c>
      <c r="AA1" s="6" t="s">
        <v>101</v>
      </c>
      <c r="AB1" s="7" t="s">
        <v>105</v>
      </c>
      <c r="AC1" s="6" t="s">
        <v>102</v>
      </c>
      <c r="AD1" s="7" t="s">
        <v>106</v>
      </c>
      <c r="AE1" s="6" t="s">
        <v>103</v>
      </c>
      <c r="AF1" s="6" t="s">
        <v>104</v>
      </c>
    </row>
    <row r="2" spans="1:32" x14ac:dyDescent="0.3">
      <c r="A2" s="2">
        <v>1001</v>
      </c>
      <c r="B2" s="2" t="s">
        <v>10</v>
      </c>
      <c r="C2" s="2" t="s">
        <v>11</v>
      </c>
      <c r="D2" s="2" t="s">
        <v>12</v>
      </c>
      <c r="E2" s="3">
        <v>93000</v>
      </c>
      <c r="F2" s="4">
        <v>42135</v>
      </c>
      <c r="G2" s="2">
        <v>5</v>
      </c>
      <c r="H2" s="2">
        <v>2</v>
      </c>
      <c r="I2" s="2">
        <v>1</v>
      </c>
      <c r="J2" s="2">
        <v>0</v>
      </c>
      <c r="K2" s="8">
        <f>E2/12</f>
        <v>7750</v>
      </c>
      <c r="L2" s="8">
        <f>E2*10%</f>
        <v>9300</v>
      </c>
      <c r="M2" s="9">
        <f>Table1[[#This Row],[Salary]]*8%</f>
        <v>7440</v>
      </c>
      <c r="N2" s="3">
        <f>Table1[[#This Row],[Salary]]-60000</f>
        <v>33000</v>
      </c>
      <c r="O2" s="2">
        <f>Table1[[#This Row],[Projects_Completed]]*1500</f>
        <v>7500</v>
      </c>
      <c r="P2" s="2" t="str">
        <f>IF(Table1[[#This Row],[Salary]]&gt;80000,"true")</f>
        <v>true</v>
      </c>
      <c r="Q2" s="2" t="b">
        <f>IF(Table1[[#This Row],[Salary]]=75000,"TRUE")</f>
        <v>0</v>
      </c>
      <c r="R2" s="2" t="b">
        <f>Table1[[#This Row],[Salary]]&lt;&gt;70000</f>
        <v>1</v>
      </c>
      <c r="S2" s="2" t="b">
        <f>Table1[[#This Row],[Projects_Completed]]&gt;=4</f>
        <v>1</v>
      </c>
      <c r="T2" s="2" t="b">
        <f>Table1[[#This Row],[Training_Hours]]&lt;3</f>
        <v>1</v>
      </c>
      <c r="U2" s="2" t="str">
        <f>IF(AND(Table1[[#This Row],[Salary]]&gt;=75000,Table1[[#This Row],[Performance_Target_Met]]=1),"ELIGIBLE","NOT ELIGIBLE")</f>
        <v>NOT ELIGIBLE</v>
      </c>
      <c r="V2" s="2" t="str">
        <f>IF(OR(Table1[[#This Row],[Department]]="FINANCE",Table1[[#This Row],[Department]]="IT"),"ELIGIBLE","NOT ELIGIBLE")</f>
        <v>ELIGIBLE</v>
      </c>
      <c r="W2" s="2" t="b">
        <f>NOT(Table1[[#This Row],[Attendance_Bonus_Eligible]])</f>
        <v>0</v>
      </c>
      <c r="X2" s="2" t="b">
        <f>OR(Table1[[#This Row],[Salary]]&gt;=80000,Table1[[#This Row],[Projects_Completed]]&gt;=4)</f>
        <v>1</v>
      </c>
      <c r="Y2" s="2" t="str">
        <f>Table1[[#This Row],[Employee_Name]]&amp;"-"&amp;Table1[[#This Row],[Department]]</f>
        <v>Ava Rodriguez-Finance</v>
      </c>
      <c r="Z2" s="2" t="b">
        <f>AND(Table1[[#This Row],[Department]]="IT",Table1[[#This Row],[Salary]]&gt;70000)</f>
        <v>0</v>
      </c>
      <c r="AA2" s="2" t="b">
        <f>OR(Table1[[#This Row],[Department]]="FINANCE",Table1[[#This Row],[Salary]]&lt;60000)</f>
        <v>1</v>
      </c>
      <c r="AB2" s="2">
        <f>Table1[[#This Row],[Salary]]*5%</f>
        <v>4650</v>
      </c>
      <c r="AC2" s="3">
        <f>Table1[[#This Row],[Salary]]+Table1[[#This Row],[5%INCREASE]]</f>
        <v>97650</v>
      </c>
      <c r="AD2" s="3" t="b">
        <f>Table1[[#This Row],[PROPOSED SALARY]]&gt;80000</f>
        <v>1</v>
      </c>
      <c r="AE2" s="2" t="str">
        <f>IF(Table1[[#This Row],[Performance_Target_Met]]=1,"2000","0")</f>
        <v>0</v>
      </c>
      <c r="AF2" s="2" t="b">
        <f>OR(Table1[[#This Row],[Attendance_Bonus_Eligible]]=1,Table1[[#This Row],[Performance_Target_Met]]=1,AND(Table1[[#This Row],[Salary]]&gt;=75000))</f>
        <v>1</v>
      </c>
    </row>
    <row r="3" spans="1:32" x14ac:dyDescent="0.3">
      <c r="A3" s="2">
        <v>1002</v>
      </c>
      <c r="B3" s="2" t="s">
        <v>13</v>
      </c>
      <c r="C3" s="2" t="s">
        <v>14</v>
      </c>
      <c r="D3" s="2" t="s">
        <v>15</v>
      </c>
      <c r="E3" s="3">
        <v>67000</v>
      </c>
      <c r="F3" s="4">
        <v>43368</v>
      </c>
      <c r="G3" s="2">
        <v>3</v>
      </c>
      <c r="H3" s="2">
        <v>1</v>
      </c>
      <c r="I3" s="2">
        <v>0</v>
      </c>
      <c r="J3" s="2">
        <v>1</v>
      </c>
      <c r="K3" s="8">
        <f t="shared" ref="K3:K16" si="0">E3/12</f>
        <v>5583.333333333333</v>
      </c>
      <c r="L3" s="8">
        <f t="shared" ref="L3:L16" si="1">E3*10%</f>
        <v>6700</v>
      </c>
      <c r="M3" s="9">
        <f>Table1[[#This Row],[Salary]]*8%</f>
        <v>5360</v>
      </c>
      <c r="N3" s="3">
        <f>Table1[[#This Row],[Salary]]-60000</f>
        <v>7000</v>
      </c>
      <c r="O3" s="2">
        <f>Table1[[#This Row],[Projects_Completed]]*1500</f>
        <v>4500</v>
      </c>
      <c r="P3" s="2" t="b">
        <f>IF(Table1[[#This Row],[Salary]]&gt;80000,"true")</f>
        <v>0</v>
      </c>
      <c r="Q3" s="2" t="b">
        <f>IF(Table1[[#This Row],[Salary]]=75000,"TRUE")</f>
        <v>0</v>
      </c>
      <c r="R3" s="2" t="b">
        <f>Table1[[#This Row],[Salary]]&lt;&gt;70000</f>
        <v>1</v>
      </c>
      <c r="S3" s="2" t="b">
        <f>Table1[[#This Row],[Projects_Completed]]&gt;=4</f>
        <v>0</v>
      </c>
      <c r="T3" s="2" t="b">
        <f>Table1[[#This Row],[Training_Hours]]&lt;3</f>
        <v>1</v>
      </c>
      <c r="U3" s="2" t="str">
        <f>IF(AND(Table1[[#This Row],[Salary]]&gt;=75000,Table1[[#This Row],[Performance_Target_Met]]=1),"ELIGIBLE","NOT ELIGIBLE")</f>
        <v>NOT ELIGIBLE</v>
      </c>
      <c r="V3" s="2" t="str">
        <f>IF(OR(Table1[[#This Row],[Department]]="FINANCE",Table1[[#This Row],[Department]]="IT"),"ELIGIBLE","NOT ELIGIBLE")</f>
        <v>ELIGIBLE</v>
      </c>
      <c r="W3" s="2" t="b">
        <f>NOT(Table1[[#This Row],[Attendance_Bonus_Eligible]])</f>
        <v>1</v>
      </c>
      <c r="X3" s="2" t="b">
        <f>OR(Table1[[#This Row],[Salary]]&gt;=80000,Table1[[#This Row],[Projects_Completed]]&gt;=4)</f>
        <v>0</v>
      </c>
      <c r="Y3" s="2" t="str">
        <f>Table1[[#This Row],[Employee_Name]]&amp;"-"&amp;Table1[[#This Row],[Department]]</f>
        <v>David Johnson-IT</v>
      </c>
      <c r="Z3" s="2" t="b">
        <f>AND(Table1[[#This Row],[Department]]="IT",Table1[[#This Row],[Salary]]&gt;70000)</f>
        <v>0</v>
      </c>
      <c r="AA3" s="2" t="b">
        <f>OR(Table1[[#This Row],[Department]]="FINANCE",Table1[[#This Row],[Salary]]&lt;60000)</f>
        <v>0</v>
      </c>
      <c r="AB3" s="2">
        <f>Table1[[#This Row],[Salary]]*5%</f>
        <v>3350</v>
      </c>
      <c r="AC3" s="3">
        <f>Table1[[#This Row],[Salary]]+Table1[[#This Row],[5%INCREASE]]</f>
        <v>70350</v>
      </c>
      <c r="AD3" s="3" t="b">
        <f>Table1[[#This Row],[PROPOSED SALARY]]&gt;80000</f>
        <v>0</v>
      </c>
      <c r="AE3" s="2" t="str">
        <f>IF(Table1[[#This Row],[Performance_Target_Met]]=1,"2000","0")</f>
        <v>2000</v>
      </c>
      <c r="AF3" s="2" t="b">
        <f>OR(Table1[[#This Row],[Attendance_Bonus_Eligible]]=1,Table1[[#This Row],[Performance_Target_Met]]=1,AND(Table1[[#This Row],[Salary]]&gt;=75000))</f>
        <v>1</v>
      </c>
    </row>
    <row r="4" spans="1:32" x14ac:dyDescent="0.3">
      <c r="A4" s="2">
        <v>1003</v>
      </c>
      <c r="B4" s="2" t="s">
        <v>16</v>
      </c>
      <c r="C4" s="2" t="s">
        <v>11</v>
      </c>
      <c r="D4" s="2" t="s">
        <v>12</v>
      </c>
      <c r="E4" s="3">
        <v>85000</v>
      </c>
      <c r="F4" s="4">
        <v>44365</v>
      </c>
      <c r="G4" s="2">
        <v>4</v>
      </c>
      <c r="H4" s="2">
        <v>3</v>
      </c>
      <c r="I4" s="2">
        <v>1</v>
      </c>
      <c r="J4" s="2">
        <v>1</v>
      </c>
      <c r="K4" s="8">
        <f t="shared" si="0"/>
        <v>7083.333333333333</v>
      </c>
      <c r="L4" s="8">
        <f t="shared" si="1"/>
        <v>8500</v>
      </c>
      <c r="M4" s="9">
        <f>Table1[[#This Row],[Salary]]*8%</f>
        <v>6800</v>
      </c>
      <c r="N4" s="3">
        <f>Table1[[#This Row],[Salary]]-60000</f>
        <v>25000</v>
      </c>
      <c r="O4" s="2">
        <f>Table1[[#This Row],[Projects_Completed]]*1500</f>
        <v>6000</v>
      </c>
      <c r="P4" s="2" t="str">
        <f>IF(Table1[[#This Row],[Salary]]&gt;80000,"true")</f>
        <v>true</v>
      </c>
      <c r="Q4" s="2" t="b">
        <f>IF(Table1[[#This Row],[Salary]]=75000,"TRUE")</f>
        <v>0</v>
      </c>
      <c r="R4" s="2" t="b">
        <f>Table1[[#This Row],[Salary]]&lt;&gt;70000</f>
        <v>1</v>
      </c>
      <c r="S4" s="2" t="b">
        <f>Table1[[#This Row],[Projects_Completed]]&gt;=4</f>
        <v>1</v>
      </c>
      <c r="T4" s="2" t="b">
        <f>Table1[[#This Row],[Training_Hours]]&lt;3</f>
        <v>0</v>
      </c>
      <c r="U4" s="2" t="str">
        <f>IF(AND(Table1[[#This Row],[Salary]]&gt;=75000,Table1[[#This Row],[Performance_Target_Met]]=1),"ELIGIBLE","NOT ELIGIBLE")</f>
        <v>ELIGIBLE</v>
      </c>
      <c r="V4" s="2" t="str">
        <f>IF(OR(Table1[[#This Row],[Department]]="FINANCE",Table1[[#This Row],[Department]]="IT"),"ELIGIBLE","NOT ELIGIBLE")</f>
        <v>ELIGIBLE</v>
      </c>
      <c r="W4" s="2" t="b">
        <f>NOT(Table1[[#This Row],[Attendance_Bonus_Eligible]])</f>
        <v>0</v>
      </c>
      <c r="X4" s="2" t="b">
        <f>OR(Table1[[#This Row],[Salary]]&gt;=80000,Table1[[#This Row],[Projects_Completed]]&gt;=4)</f>
        <v>1</v>
      </c>
      <c r="Y4" s="2" t="str">
        <f>Table1[[#This Row],[Employee_Name]]&amp;"-"&amp;Table1[[#This Row],[Department]]</f>
        <v>Chris Wilson-Finance</v>
      </c>
      <c r="Z4" s="2" t="b">
        <f>AND(Table1[[#This Row],[Department]]="IT",Table1[[#This Row],[Salary]]&gt;70000)</f>
        <v>0</v>
      </c>
      <c r="AA4" s="2" t="b">
        <f>OR(Table1[[#This Row],[Department]]="FINANCE",Table1[[#This Row],[Salary]]&lt;60000)</f>
        <v>1</v>
      </c>
      <c r="AB4" s="2">
        <f>Table1[[#This Row],[Salary]]*5%</f>
        <v>4250</v>
      </c>
      <c r="AC4" s="3">
        <f>Table1[[#This Row],[Salary]]+Table1[[#This Row],[5%INCREASE]]</f>
        <v>89250</v>
      </c>
      <c r="AD4" s="3" t="b">
        <f>Table1[[#This Row],[PROPOSED SALARY]]&gt;80000</f>
        <v>1</v>
      </c>
      <c r="AE4" s="2" t="str">
        <f>IF(Table1[[#This Row],[Performance_Target_Met]]=1,"2000","0")</f>
        <v>2000</v>
      </c>
      <c r="AF4" s="2" t="b">
        <f>OR(Table1[[#This Row],[Attendance_Bonus_Eligible]]=1,Table1[[#This Row],[Performance_Target_Met]]=1,AND(Table1[[#This Row],[Salary]]&gt;=75000))</f>
        <v>1</v>
      </c>
    </row>
    <row r="5" spans="1:32" x14ac:dyDescent="0.3">
      <c r="A5" s="2">
        <v>1004</v>
      </c>
      <c r="B5" s="2" t="s">
        <v>17</v>
      </c>
      <c r="C5" s="2" t="s">
        <v>14</v>
      </c>
      <c r="D5" s="2" t="s">
        <v>15</v>
      </c>
      <c r="E5" s="3">
        <v>71000</v>
      </c>
      <c r="F5" s="4">
        <v>42771</v>
      </c>
      <c r="G5" s="2">
        <v>2</v>
      </c>
      <c r="H5" s="2">
        <v>2</v>
      </c>
      <c r="I5" s="2">
        <v>0</v>
      </c>
      <c r="J5" s="2">
        <v>1</v>
      </c>
      <c r="K5" s="8">
        <f t="shared" si="0"/>
        <v>5916.666666666667</v>
      </c>
      <c r="L5" s="8">
        <f t="shared" si="1"/>
        <v>7100</v>
      </c>
      <c r="M5" s="9">
        <f>Table1[[#This Row],[Salary]]*8%</f>
        <v>5680</v>
      </c>
      <c r="N5" s="3">
        <f>Table1[[#This Row],[Salary]]-60000</f>
        <v>11000</v>
      </c>
      <c r="O5" s="2">
        <f>Table1[[#This Row],[Projects_Completed]]*1500</f>
        <v>3000</v>
      </c>
      <c r="P5" s="2" t="b">
        <f>IF(Table1[[#This Row],[Salary]]&gt;80000,"true")</f>
        <v>0</v>
      </c>
      <c r="Q5" s="2" t="b">
        <f>IF(Table1[[#This Row],[Salary]]=75000,"TRUE")</f>
        <v>0</v>
      </c>
      <c r="R5" s="2" t="b">
        <f>Table1[[#This Row],[Salary]]&lt;&gt;70000</f>
        <v>1</v>
      </c>
      <c r="S5" s="2" t="b">
        <f>Table1[[#This Row],[Projects_Completed]]&gt;=4</f>
        <v>0</v>
      </c>
      <c r="T5" s="2" t="b">
        <f>Table1[[#This Row],[Training_Hours]]&lt;3</f>
        <v>1</v>
      </c>
      <c r="U5" s="2" t="str">
        <f>IF(AND(Table1[[#This Row],[Salary]]&gt;=75000,Table1[[#This Row],[Performance_Target_Met]]=1),"ELIGIBLE","NOT ELIGIBLE")</f>
        <v>NOT ELIGIBLE</v>
      </c>
      <c r="V5" s="2" t="str">
        <f>IF(OR(Table1[[#This Row],[Department]]="FINANCE",Table1[[#This Row],[Department]]="IT"),"ELIGIBLE","NOT ELIGIBLE")</f>
        <v>ELIGIBLE</v>
      </c>
      <c r="W5" s="2" t="b">
        <f>NOT(Table1[[#This Row],[Attendance_Bonus_Eligible]])</f>
        <v>1</v>
      </c>
      <c r="X5" s="2" t="b">
        <f>OR(Table1[[#This Row],[Salary]]&gt;=80000,Table1[[#This Row],[Projects_Completed]]&gt;=4)</f>
        <v>0</v>
      </c>
      <c r="Y5" s="2" t="str">
        <f>Table1[[#This Row],[Employee_Name]]&amp;"-"&amp;Table1[[#This Row],[Department]]</f>
        <v>Emily Davis-IT</v>
      </c>
      <c r="Z5" s="2" t="b">
        <f>AND(Table1[[#This Row],[Department]]="IT",Table1[[#This Row],[Salary]]&gt;70000)</f>
        <v>1</v>
      </c>
      <c r="AA5" s="2" t="b">
        <f>OR(Table1[[#This Row],[Department]]="FINANCE",Table1[[#This Row],[Salary]]&lt;60000)</f>
        <v>0</v>
      </c>
      <c r="AB5" s="2">
        <f>Table1[[#This Row],[Salary]]*5%</f>
        <v>3550</v>
      </c>
      <c r="AC5" s="3">
        <f>Table1[[#This Row],[Salary]]+Table1[[#This Row],[5%INCREASE]]</f>
        <v>74550</v>
      </c>
      <c r="AD5" s="3" t="b">
        <f>Table1[[#This Row],[PROPOSED SALARY]]&gt;80000</f>
        <v>0</v>
      </c>
      <c r="AE5" s="2" t="str">
        <f>IF(Table1[[#This Row],[Performance_Target_Met]]=1,"2000","0")</f>
        <v>2000</v>
      </c>
      <c r="AF5" s="2" t="b">
        <f>OR(Table1[[#This Row],[Attendance_Bonus_Eligible]]=1,Table1[[#This Row],[Performance_Target_Met]]=1,AND(Table1[[#This Row],[Salary]]&gt;=75000))</f>
        <v>1</v>
      </c>
    </row>
    <row r="6" spans="1:32" x14ac:dyDescent="0.3">
      <c r="A6" s="2">
        <v>1005</v>
      </c>
      <c r="B6" s="2" t="s">
        <v>18</v>
      </c>
      <c r="C6" s="2" t="s">
        <v>19</v>
      </c>
      <c r="D6" s="2" t="s">
        <v>20</v>
      </c>
      <c r="E6" s="3">
        <v>58000</v>
      </c>
      <c r="F6" s="4">
        <v>43781</v>
      </c>
      <c r="G6" s="2">
        <v>2</v>
      </c>
      <c r="H6" s="2">
        <v>1</v>
      </c>
      <c r="I6" s="2">
        <v>0</v>
      </c>
      <c r="J6" s="2">
        <v>0</v>
      </c>
      <c r="K6" s="8">
        <f t="shared" si="0"/>
        <v>4833.333333333333</v>
      </c>
      <c r="L6" s="8">
        <f t="shared" si="1"/>
        <v>5800</v>
      </c>
      <c r="M6" s="9">
        <f>Table1[[#This Row],[Salary]]*8%</f>
        <v>4640</v>
      </c>
      <c r="N6" s="3">
        <f>Table1[[#This Row],[Salary]]-60000</f>
        <v>-2000</v>
      </c>
      <c r="O6" s="2">
        <f>Table1[[#This Row],[Projects_Completed]]*1500</f>
        <v>3000</v>
      </c>
      <c r="P6" s="2" t="b">
        <f>IF(Table1[[#This Row],[Salary]]&gt;80000,"true")</f>
        <v>0</v>
      </c>
      <c r="Q6" s="2" t="b">
        <f>IF(Table1[[#This Row],[Salary]]=75000,"TRUE")</f>
        <v>0</v>
      </c>
      <c r="R6" s="2" t="b">
        <f>Table1[[#This Row],[Salary]]&lt;&gt;70000</f>
        <v>1</v>
      </c>
      <c r="S6" s="2" t="b">
        <f>Table1[[#This Row],[Projects_Completed]]&gt;=4</f>
        <v>0</v>
      </c>
      <c r="T6" s="2" t="b">
        <f>Table1[[#This Row],[Training_Hours]]&lt;3</f>
        <v>1</v>
      </c>
      <c r="U6" s="2" t="str">
        <f>IF(AND(Table1[[#This Row],[Salary]]&gt;=75000,Table1[[#This Row],[Performance_Target_Met]]=1),"ELIGIBLE","NOT ELIGIBLE")</f>
        <v>NOT ELIGIBLE</v>
      </c>
      <c r="V6" s="2" t="str">
        <f>IF(OR(Table1[[#This Row],[Department]]="FINANCE",Table1[[#This Row],[Department]]="IT"),"ELIGIBLE","NOT ELIGIBLE")</f>
        <v>NOT ELIGIBLE</v>
      </c>
      <c r="W6" s="2" t="b">
        <f>NOT(Table1[[#This Row],[Attendance_Bonus_Eligible]])</f>
        <v>1</v>
      </c>
      <c r="X6" s="2" t="b">
        <f>OR(Table1[[#This Row],[Salary]]&gt;=80000,Table1[[#This Row],[Projects_Completed]]&gt;=4)</f>
        <v>0</v>
      </c>
      <c r="Y6" s="2" t="str">
        <f>Table1[[#This Row],[Employee_Name]]&amp;"-"&amp;Table1[[#This Row],[Department]]</f>
        <v>Sophia Brown-HR</v>
      </c>
      <c r="Z6" s="2" t="b">
        <f>AND(Table1[[#This Row],[Department]]="IT",Table1[[#This Row],[Salary]]&gt;70000)</f>
        <v>0</v>
      </c>
      <c r="AA6" s="2" t="b">
        <f>OR(Table1[[#This Row],[Department]]="FINANCE",Table1[[#This Row],[Salary]]&lt;60000)</f>
        <v>1</v>
      </c>
      <c r="AB6" s="2">
        <f>Table1[[#This Row],[Salary]]*5%</f>
        <v>2900</v>
      </c>
      <c r="AC6" s="3">
        <f>Table1[[#This Row],[Salary]]+Table1[[#This Row],[5%INCREASE]]</f>
        <v>60900</v>
      </c>
      <c r="AD6" s="3" t="b">
        <f>Table1[[#This Row],[PROPOSED SALARY]]&gt;80000</f>
        <v>0</v>
      </c>
      <c r="AE6" s="2" t="str">
        <f>IF(Table1[[#This Row],[Performance_Target_Met]]=1,"2000","0")</f>
        <v>0</v>
      </c>
      <c r="AF6" s="2" t="b">
        <f>OR(Table1[[#This Row],[Attendance_Bonus_Eligible]]=1,Table1[[#This Row],[Performance_Target_Met]]=1,AND(Table1[[#This Row],[Salary]]&gt;=75000))</f>
        <v>0</v>
      </c>
    </row>
    <row r="7" spans="1:32" x14ac:dyDescent="0.3">
      <c r="A7" s="2">
        <v>1006</v>
      </c>
      <c r="B7" s="2" t="s">
        <v>21</v>
      </c>
      <c r="C7" s="2" t="s">
        <v>14</v>
      </c>
      <c r="D7" s="2" t="s">
        <v>15</v>
      </c>
      <c r="E7" s="3">
        <v>88000</v>
      </c>
      <c r="F7" s="4">
        <v>42571</v>
      </c>
      <c r="G7" s="2">
        <v>5</v>
      </c>
      <c r="H7" s="2">
        <v>4</v>
      </c>
      <c r="I7" s="2">
        <v>1</v>
      </c>
      <c r="J7" s="2">
        <v>1</v>
      </c>
      <c r="K7" s="8">
        <f t="shared" si="0"/>
        <v>7333.333333333333</v>
      </c>
      <c r="L7" s="8">
        <f t="shared" si="1"/>
        <v>8800</v>
      </c>
      <c r="M7" s="9">
        <f>Table1[[#This Row],[Salary]]*8%</f>
        <v>7040</v>
      </c>
      <c r="N7" s="3">
        <f>Table1[[#This Row],[Salary]]-60000</f>
        <v>28000</v>
      </c>
      <c r="O7" s="2">
        <f>Table1[[#This Row],[Projects_Completed]]*1500</f>
        <v>7500</v>
      </c>
      <c r="P7" s="2" t="str">
        <f>IF(Table1[[#This Row],[Salary]]&gt;80000,"true")</f>
        <v>true</v>
      </c>
      <c r="Q7" s="2" t="b">
        <f>IF(Table1[[#This Row],[Salary]]=75000,"TRUE")</f>
        <v>0</v>
      </c>
      <c r="R7" s="2" t="b">
        <f>Table1[[#This Row],[Salary]]&lt;&gt;70000</f>
        <v>1</v>
      </c>
      <c r="S7" s="2" t="b">
        <f>Table1[[#This Row],[Projects_Completed]]&gt;=4</f>
        <v>1</v>
      </c>
      <c r="T7" s="2" t="b">
        <f>Table1[[#This Row],[Training_Hours]]&lt;3</f>
        <v>0</v>
      </c>
      <c r="U7" s="2" t="str">
        <f>IF(AND(Table1[[#This Row],[Salary]]&gt;=75000,Table1[[#This Row],[Performance_Target_Met]]=1),"ELIGIBLE","NOT ELIGIBLE")</f>
        <v>ELIGIBLE</v>
      </c>
      <c r="V7" s="2" t="str">
        <f>IF(OR(Table1[[#This Row],[Department]]="FINANCE",Table1[[#This Row],[Department]]="IT"),"ELIGIBLE","NOT ELIGIBLE")</f>
        <v>ELIGIBLE</v>
      </c>
      <c r="W7" s="2" t="b">
        <f>NOT(Table1[[#This Row],[Attendance_Bonus_Eligible]])</f>
        <v>0</v>
      </c>
      <c r="X7" s="2" t="b">
        <f>OR(Table1[[#This Row],[Salary]]&gt;=80000,Table1[[#This Row],[Projects_Completed]]&gt;=4)</f>
        <v>1</v>
      </c>
      <c r="Y7" s="2" t="str">
        <f>Table1[[#This Row],[Employee_Name]]&amp;"-"&amp;Table1[[#This Row],[Department]]</f>
        <v>Michael Smith-IT</v>
      </c>
      <c r="Z7" s="2" t="b">
        <f>AND(Table1[[#This Row],[Department]]="IT",Table1[[#This Row],[Salary]]&gt;70000)</f>
        <v>1</v>
      </c>
      <c r="AA7" s="2" t="b">
        <f>OR(Table1[[#This Row],[Department]]="FINANCE",Table1[[#This Row],[Salary]]&lt;60000)</f>
        <v>0</v>
      </c>
      <c r="AB7" s="2">
        <f>Table1[[#This Row],[Salary]]*5%</f>
        <v>4400</v>
      </c>
      <c r="AC7" s="3">
        <f>Table1[[#This Row],[Salary]]+Table1[[#This Row],[5%INCREASE]]</f>
        <v>92400</v>
      </c>
      <c r="AD7" s="3" t="b">
        <f>Table1[[#This Row],[PROPOSED SALARY]]&gt;80000</f>
        <v>1</v>
      </c>
      <c r="AE7" s="2" t="str">
        <f>IF(Table1[[#This Row],[Performance_Target_Met]]=1,"2000","0")</f>
        <v>2000</v>
      </c>
      <c r="AF7" s="2" t="b">
        <f>OR(Table1[[#This Row],[Attendance_Bonus_Eligible]]=1,Table1[[#This Row],[Performance_Target_Met]]=1,AND(Table1[[#This Row],[Salary]]&gt;=75000))</f>
        <v>1</v>
      </c>
    </row>
    <row r="8" spans="1:32" x14ac:dyDescent="0.3">
      <c r="A8" s="2">
        <v>1007</v>
      </c>
      <c r="B8" s="2" t="s">
        <v>22</v>
      </c>
      <c r="C8" s="2" t="s">
        <v>19</v>
      </c>
      <c r="D8" s="2" t="s">
        <v>20</v>
      </c>
      <c r="E8" s="3">
        <v>62000</v>
      </c>
      <c r="F8" s="4">
        <v>44635</v>
      </c>
      <c r="G8" s="2">
        <v>3</v>
      </c>
      <c r="H8" s="2">
        <v>2</v>
      </c>
      <c r="I8" s="2">
        <v>0</v>
      </c>
      <c r="J8" s="2">
        <v>1</v>
      </c>
      <c r="K8" s="8">
        <f t="shared" si="0"/>
        <v>5166.666666666667</v>
      </c>
      <c r="L8" s="8">
        <f t="shared" si="1"/>
        <v>6200</v>
      </c>
      <c r="M8" s="9">
        <f>Table1[[#This Row],[Salary]]*8%</f>
        <v>4960</v>
      </c>
      <c r="N8" s="3">
        <f>Table1[[#This Row],[Salary]]-60000</f>
        <v>2000</v>
      </c>
      <c r="O8" s="2">
        <f>Table1[[#This Row],[Projects_Completed]]*1500</f>
        <v>4500</v>
      </c>
      <c r="P8" s="2" t="b">
        <f>IF(Table1[[#This Row],[Salary]]&gt;80000,"true")</f>
        <v>0</v>
      </c>
      <c r="Q8" s="2" t="b">
        <f>IF(Table1[[#This Row],[Salary]]=75000,"TRUE")</f>
        <v>0</v>
      </c>
      <c r="R8" s="2" t="b">
        <f>Table1[[#This Row],[Salary]]&lt;&gt;70000</f>
        <v>1</v>
      </c>
      <c r="S8" s="2" t="b">
        <f>Table1[[#This Row],[Projects_Completed]]&gt;=4</f>
        <v>0</v>
      </c>
      <c r="T8" s="2" t="b">
        <f>Table1[[#This Row],[Training_Hours]]&lt;3</f>
        <v>1</v>
      </c>
      <c r="U8" s="2" t="str">
        <f>IF(AND(Table1[[#This Row],[Salary]]&gt;=75000,Table1[[#This Row],[Performance_Target_Met]]=1),"ELIGIBLE","NOT ELIGIBLE")</f>
        <v>NOT ELIGIBLE</v>
      </c>
      <c r="V8" s="2" t="str">
        <f>IF(OR(Table1[[#This Row],[Department]]="FINANCE",Table1[[#This Row],[Department]]="IT"),"ELIGIBLE","NOT ELIGIBLE")</f>
        <v>NOT ELIGIBLE</v>
      </c>
      <c r="W8" s="2" t="b">
        <f>NOT(Table1[[#This Row],[Attendance_Bonus_Eligible]])</f>
        <v>1</v>
      </c>
      <c r="X8" s="2" t="b">
        <f>OR(Table1[[#This Row],[Salary]]&gt;=80000,Table1[[#This Row],[Projects_Completed]]&gt;=4)</f>
        <v>0</v>
      </c>
      <c r="Y8" s="2" t="str">
        <f>Table1[[#This Row],[Employee_Name]]&amp;"-"&amp;Table1[[#This Row],[Department]]</f>
        <v>Olivia Taylor-HR</v>
      </c>
      <c r="Z8" s="2" t="b">
        <f>AND(Table1[[#This Row],[Department]]="IT",Table1[[#This Row],[Salary]]&gt;70000)</f>
        <v>0</v>
      </c>
      <c r="AA8" s="2" t="b">
        <f>OR(Table1[[#This Row],[Department]]="FINANCE",Table1[[#This Row],[Salary]]&lt;60000)</f>
        <v>0</v>
      </c>
      <c r="AB8" s="2">
        <f>Table1[[#This Row],[Salary]]*5%</f>
        <v>3100</v>
      </c>
      <c r="AC8" s="3">
        <f>Table1[[#This Row],[Salary]]+Table1[[#This Row],[5%INCREASE]]</f>
        <v>65100</v>
      </c>
      <c r="AD8" s="3" t="b">
        <f>Table1[[#This Row],[PROPOSED SALARY]]&gt;80000</f>
        <v>0</v>
      </c>
      <c r="AE8" s="2" t="str">
        <f>IF(Table1[[#This Row],[Performance_Target_Met]]=1,"2000","0")</f>
        <v>2000</v>
      </c>
      <c r="AF8" s="2" t="b">
        <f>OR(Table1[[#This Row],[Attendance_Bonus_Eligible]]=1,Table1[[#This Row],[Performance_Target_Met]]=1,AND(Table1[[#This Row],[Salary]]&gt;=75000))</f>
        <v>1</v>
      </c>
    </row>
    <row r="9" spans="1:32" x14ac:dyDescent="0.3">
      <c r="A9" s="2">
        <v>1008</v>
      </c>
      <c r="B9" s="2" t="s">
        <v>23</v>
      </c>
      <c r="C9" s="2" t="s">
        <v>24</v>
      </c>
      <c r="D9" s="2" t="s">
        <v>25</v>
      </c>
      <c r="E9" s="3">
        <v>75000</v>
      </c>
      <c r="F9" s="4">
        <v>43840</v>
      </c>
      <c r="G9" s="2">
        <v>4</v>
      </c>
      <c r="H9" s="2">
        <v>3</v>
      </c>
      <c r="I9" s="2">
        <v>1</v>
      </c>
      <c r="J9" s="2">
        <v>0</v>
      </c>
      <c r="K9" s="8">
        <f t="shared" si="0"/>
        <v>6250</v>
      </c>
      <c r="L9" s="8">
        <f t="shared" si="1"/>
        <v>7500</v>
      </c>
      <c r="M9" s="9">
        <f>Table1[[#This Row],[Salary]]*8%</f>
        <v>6000</v>
      </c>
      <c r="N9" s="3">
        <f>Table1[[#This Row],[Salary]]-60000</f>
        <v>15000</v>
      </c>
      <c r="O9" s="2">
        <f>Table1[[#This Row],[Projects_Completed]]*1500</f>
        <v>6000</v>
      </c>
      <c r="P9" s="2" t="b">
        <f>IF(Table1[[#This Row],[Salary]]&gt;80000,"true")</f>
        <v>0</v>
      </c>
      <c r="Q9" s="2" t="str">
        <f>IF(Table1[[#This Row],[Salary]]=75000,"TRUE")</f>
        <v>TRUE</v>
      </c>
      <c r="R9" s="2" t="b">
        <f>Table1[[#This Row],[Salary]]&lt;&gt;70000</f>
        <v>1</v>
      </c>
      <c r="S9" s="2" t="b">
        <f>Table1[[#This Row],[Projects_Completed]]&gt;=4</f>
        <v>1</v>
      </c>
      <c r="T9" s="2" t="b">
        <f>Table1[[#This Row],[Training_Hours]]&lt;3</f>
        <v>0</v>
      </c>
      <c r="U9" s="2" t="str">
        <f>IF(AND(Table1[[#This Row],[Salary]]&gt;=75000,Table1[[#This Row],[Performance_Target_Met]]=1),"ELIGIBLE","NOT ELIGIBLE")</f>
        <v>NOT ELIGIBLE</v>
      </c>
      <c r="V9" s="2" t="str">
        <f>IF(OR(Table1[[#This Row],[Department]]="FINANCE",Table1[[#This Row],[Department]]="IT"),"ELIGIBLE","NOT ELIGIBLE")</f>
        <v>NOT ELIGIBLE</v>
      </c>
      <c r="W9" s="2" t="b">
        <f>NOT(Table1[[#This Row],[Attendance_Bonus_Eligible]])</f>
        <v>0</v>
      </c>
      <c r="X9" s="2" t="b">
        <f>OR(Table1[[#This Row],[Salary]]&gt;=80000,Table1[[#This Row],[Projects_Completed]]&gt;=4)</f>
        <v>1</v>
      </c>
      <c r="Y9" s="2" t="str">
        <f>Table1[[#This Row],[Employee_Name]]&amp;"-"&amp;Table1[[#This Row],[Department]]</f>
        <v>James Anderson-Marketing</v>
      </c>
      <c r="Z9" s="2" t="b">
        <f>AND(Table1[[#This Row],[Department]]="IT",Table1[[#This Row],[Salary]]&gt;70000)</f>
        <v>0</v>
      </c>
      <c r="AA9" s="2" t="b">
        <f>OR(Table1[[#This Row],[Department]]="FINANCE",Table1[[#This Row],[Salary]]&lt;60000)</f>
        <v>0</v>
      </c>
      <c r="AB9" s="2">
        <f>Table1[[#This Row],[Salary]]*5%</f>
        <v>3750</v>
      </c>
      <c r="AC9" s="3">
        <f>Table1[[#This Row],[Salary]]+Table1[[#This Row],[5%INCREASE]]</f>
        <v>78750</v>
      </c>
      <c r="AD9" s="3" t="b">
        <f>Table1[[#This Row],[PROPOSED SALARY]]&gt;80000</f>
        <v>0</v>
      </c>
      <c r="AE9" s="2" t="str">
        <f>IF(Table1[[#This Row],[Performance_Target_Met]]=1,"2000","0")</f>
        <v>0</v>
      </c>
      <c r="AF9" s="2" t="b">
        <f>OR(Table1[[#This Row],[Attendance_Bonus_Eligible]]=1,Table1[[#This Row],[Performance_Target_Met]]=1,AND(Table1[[#This Row],[Salary]]&gt;=75000))</f>
        <v>1</v>
      </c>
    </row>
    <row r="10" spans="1:32" x14ac:dyDescent="0.3">
      <c r="A10" s="2">
        <v>1009</v>
      </c>
      <c r="B10" s="2" t="s">
        <v>26</v>
      </c>
      <c r="C10" s="2" t="s">
        <v>11</v>
      </c>
      <c r="D10" s="2" t="s">
        <v>12</v>
      </c>
      <c r="E10" s="3">
        <v>79000</v>
      </c>
      <c r="F10" s="4">
        <v>43699</v>
      </c>
      <c r="G10" s="2">
        <v>3</v>
      </c>
      <c r="H10" s="2">
        <v>2</v>
      </c>
      <c r="I10" s="2">
        <v>0</v>
      </c>
      <c r="J10" s="2">
        <v>1</v>
      </c>
      <c r="K10" s="8">
        <f t="shared" si="0"/>
        <v>6583.333333333333</v>
      </c>
      <c r="L10" s="8">
        <f t="shared" si="1"/>
        <v>7900</v>
      </c>
      <c r="M10" s="9">
        <f>Table1[[#This Row],[Salary]]*8%</f>
        <v>6320</v>
      </c>
      <c r="N10" s="3">
        <f>Table1[[#This Row],[Salary]]-60000</f>
        <v>19000</v>
      </c>
      <c r="O10" s="2">
        <f>Table1[[#This Row],[Projects_Completed]]*1500</f>
        <v>4500</v>
      </c>
      <c r="P10" s="2" t="b">
        <f>IF(Table1[[#This Row],[Salary]]&gt;80000,"true")</f>
        <v>0</v>
      </c>
      <c r="Q10" s="2" t="b">
        <f>IF(Table1[[#This Row],[Salary]]=75000,"TRUE")</f>
        <v>0</v>
      </c>
      <c r="R10" s="2" t="b">
        <f>Table1[[#This Row],[Salary]]&lt;&gt;70000</f>
        <v>1</v>
      </c>
      <c r="S10" s="2" t="b">
        <f>Table1[[#This Row],[Projects_Completed]]&gt;=4</f>
        <v>0</v>
      </c>
      <c r="T10" s="2" t="b">
        <f>Table1[[#This Row],[Training_Hours]]&lt;3</f>
        <v>1</v>
      </c>
      <c r="U10" s="2" t="str">
        <f>IF(AND(Table1[[#This Row],[Salary]]&gt;=75000,Table1[[#This Row],[Performance_Target_Met]]=1),"ELIGIBLE","NOT ELIGIBLE")</f>
        <v>ELIGIBLE</v>
      </c>
      <c r="V10" s="2" t="str">
        <f>IF(OR(Table1[[#This Row],[Department]]="FINANCE",Table1[[#This Row],[Department]]="IT"),"ELIGIBLE","NOT ELIGIBLE")</f>
        <v>ELIGIBLE</v>
      </c>
      <c r="W10" s="2" t="b">
        <f>NOT(Table1[[#This Row],[Attendance_Bonus_Eligible]])</f>
        <v>1</v>
      </c>
      <c r="X10" s="2" t="b">
        <f>OR(Table1[[#This Row],[Salary]]&gt;=80000,Table1[[#This Row],[Projects_Completed]]&gt;=4)</f>
        <v>0</v>
      </c>
      <c r="Y10" s="2" t="str">
        <f>Table1[[#This Row],[Employee_Name]]&amp;"-"&amp;Table1[[#This Row],[Department]]</f>
        <v>Emma Thomas-Finance</v>
      </c>
      <c r="Z10" s="2" t="b">
        <f>AND(Table1[[#This Row],[Department]]="IT",Table1[[#This Row],[Salary]]&gt;70000)</f>
        <v>0</v>
      </c>
      <c r="AA10" s="2" t="b">
        <f>OR(Table1[[#This Row],[Department]]="FINANCE",Table1[[#This Row],[Salary]]&lt;60000)</f>
        <v>1</v>
      </c>
      <c r="AB10" s="2">
        <f>Table1[[#This Row],[Salary]]*5%</f>
        <v>3950</v>
      </c>
      <c r="AC10" s="3">
        <f>Table1[[#This Row],[Salary]]+Table1[[#This Row],[5%INCREASE]]</f>
        <v>82950</v>
      </c>
      <c r="AD10" s="3" t="b">
        <f>Table1[[#This Row],[PROPOSED SALARY]]&gt;80000</f>
        <v>1</v>
      </c>
      <c r="AE10" s="2" t="str">
        <f>IF(Table1[[#This Row],[Performance_Target_Met]]=1,"2000","0")</f>
        <v>2000</v>
      </c>
      <c r="AF10" s="2" t="b">
        <f>OR(Table1[[#This Row],[Attendance_Bonus_Eligible]]=1,Table1[[#This Row],[Performance_Target_Met]]=1,AND(Table1[[#This Row],[Salary]]&gt;=75000))</f>
        <v>1</v>
      </c>
    </row>
    <row r="11" spans="1:32" x14ac:dyDescent="0.3">
      <c r="A11" s="2">
        <v>1010</v>
      </c>
      <c r="B11" s="2" t="s">
        <v>27</v>
      </c>
      <c r="C11" s="2" t="s">
        <v>24</v>
      </c>
      <c r="D11" s="2" t="s">
        <v>25</v>
      </c>
      <c r="E11" s="3">
        <v>69000</v>
      </c>
      <c r="F11" s="4">
        <v>43437</v>
      </c>
      <c r="G11" s="2">
        <v>2</v>
      </c>
      <c r="H11" s="2">
        <v>1</v>
      </c>
      <c r="I11" s="2">
        <v>0</v>
      </c>
      <c r="J11" s="2">
        <v>0</v>
      </c>
      <c r="K11" s="8">
        <f t="shared" si="0"/>
        <v>5750</v>
      </c>
      <c r="L11" s="8">
        <f t="shared" si="1"/>
        <v>6900</v>
      </c>
      <c r="M11" s="9">
        <f>Table1[[#This Row],[Salary]]*8%</f>
        <v>5520</v>
      </c>
      <c r="N11" s="3">
        <f>Table1[[#This Row],[Salary]]-60000</f>
        <v>9000</v>
      </c>
      <c r="O11" s="2">
        <f>Table1[[#This Row],[Projects_Completed]]*1500</f>
        <v>3000</v>
      </c>
      <c r="P11" s="2" t="b">
        <f>IF(Table1[[#This Row],[Salary]]&gt;80000,"true")</f>
        <v>0</v>
      </c>
      <c r="Q11" s="2" t="b">
        <f>IF(Table1[[#This Row],[Salary]]=75000,"TRUE")</f>
        <v>0</v>
      </c>
      <c r="R11" s="2" t="b">
        <f>Table1[[#This Row],[Salary]]&lt;&gt;70000</f>
        <v>1</v>
      </c>
      <c r="S11" s="2" t="b">
        <f>Table1[[#This Row],[Projects_Completed]]&gt;=4</f>
        <v>0</v>
      </c>
      <c r="T11" s="2" t="b">
        <f>Table1[[#This Row],[Training_Hours]]&lt;3</f>
        <v>1</v>
      </c>
      <c r="U11" s="2" t="str">
        <f>IF(AND(Table1[[#This Row],[Salary]]&gt;=75000,Table1[[#This Row],[Performance_Target_Met]]=1),"ELIGIBLE","NOT ELIGIBLE")</f>
        <v>NOT ELIGIBLE</v>
      </c>
      <c r="V11" s="2" t="str">
        <f>IF(OR(Table1[[#This Row],[Department]]="FINANCE",Table1[[#This Row],[Department]]="IT"),"ELIGIBLE","NOT ELIGIBLE")</f>
        <v>NOT ELIGIBLE</v>
      </c>
      <c r="W11" s="2" t="b">
        <f>NOT(Table1[[#This Row],[Attendance_Bonus_Eligible]])</f>
        <v>1</v>
      </c>
      <c r="X11" s="2" t="b">
        <f>OR(Table1[[#This Row],[Salary]]&gt;=80000,Table1[[#This Row],[Projects_Completed]]&gt;=4)</f>
        <v>0</v>
      </c>
      <c r="Y11" s="2" t="str">
        <f>Table1[[#This Row],[Employee_Name]]&amp;"-"&amp;Table1[[#This Row],[Department]]</f>
        <v>Daniel White-Marketing</v>
      </c>
      <c r="Z11" s="2" t="b">
        <f>AND(Table1[[#This Row],[Department]]="IT",Table1[[#This Row],[Salary]]&gt;70000)</f>
        <v>0</v>
      </c>
      <c r="AA11" s="2" t="b">
        <f>OR(Table1[[#This Row],[Department]]="FINANCE",Table1[[#This Row],[Salary]]&lt;60000)</f>
        <v>0</v>
      </c>
      <c r="AB11" s="2">
        <f>Table1[[#This Row],[Salary]]*5%</f>
        <v>3450</v>
      </c>
      <c r="AC11" s="3">
        <f>Table1[[#This Row],[Salary]]+Table1[[#This Row],[5%INCREASE]]</f>
        <v>72450</v>
      </c>
      <c r="AD11" s="3" t="b">
        <f>Table1[[#This Row],[PROPOSED SALARY]]&gt;80000</f>
        <v>0</v>
      </c>
      <c r="AE11" s="2" t="str">
        <f>IF(Table1[[#This Row],[Performance_Target_Met]]=1,"2000","0")</f>
        <v>0</v>
      </c>
      <c r="AF11" s="2" t="b">
        <f>OR(Table1[[#This Row],[Attendance_Bonus_Eligible]]=1,Table1[[#This Row],[Performance_Target_Met]]=1,AND(Table1[[#This Row],[Salary]]&gt;=75000))</f>
        <v>0</v>
      </c>
    </row>
    <row r="12" spans="1:32" x14ac:dyDescent="0.3">
      <c r="A12" s="2">
        <v>1011</v>
      </c>
      <c r="B12" s="2" t="s">
        <v>28</v>
      </c>
      <c r="C12" s="2" t="s">
        <v>14</v>
      </c>
      <c r="D12" s="2" t="s">
        <v>15</v>
      </c>
      <c r="E12" s="3">
        <v>95000</v>
      </c>
      <c r="F12" s="4">
        <v>41746</v>
      </c>
      <c r="G12" s="2">
        <v>5</v>
      </c>
      <c r="H12" s="2">
        <v>5</v>
      </c>
      <c r="I12" s="2">
        <v>1</v>
      </c>
      <c r="J12" s="2">
        <v>1</v>
      </c>
      <c r="K12" s="8">
        <f t="shared" si="0"/>
        <v>7916.666666666667</v>
      </c>
      <c r="L12" s="8">
        <f t="shared" si="1"/>
        <v>9500</v>
      </c>
      <c r="M12" s="9">
        <f>Table1[[#This Row],[Salary]]*8%</f>
        <v>7600</v>
      </c>
      <c r="N12" s="3">
        <f>Table1[[#This Row],[Salary]]-60000</f>
        <v>35000</v>
      </c>
      <c r="O12" s="2">
        <f>Table1[[#This Row],[Projects_Completed]]*1500</f>
        <v>7500</v>
      </c>
      <c r="P12" s="2" t="str">
        <f>IF(Table1[[#This Row],[Salary]]&gt;80000,"true")</f>
        <v>true</v>
      </c>
      <c r="Q12" s="2" t="b">
        <f>IF(Table1[[#This Row],[Salary]]=75000,"TRUE")</f>
        <v>0</v>
      </c>
      <c r="R12" s="2" t="b">
        <f>Table1[[#This Row],[Salary]]&lt;&gt;70000</f>
        <v>1</v>
      </c>
      <c r="S12" s="2" t="b">
        <f>Table1[[#This Row],[Projects_Completed]]&gt;=4</f>
        <v>1</v>
      </c>
      <c r="T12" s="2" t="b">
        <f>Table1[[#This Row],[Training_Hours]]&lt;3</f>
        <v>0</v>
      </c>
      <c r="U12" s="2" t="str">
        <f>IF(AND(Table1[[#This Row],[Salary]]&gt;=75000,Table1[[#This Row],[Performance_Target_Met]]=1),"ELIGIBLE","NOT ELIGIBLE")</f>
        <v>ELIGIBLE</v>
      </c>
      <c r="V12" s="2" t="str">
        <f>IF(OR(Table1[[#This Row],[Department]]="FINANCE",Table1[[#This Row],[Department]]="IT"),"ELIGIBLE","NOT ELIGIBLE")</f>
        <v>ELIGIBLE</v>
      </c>
      <c r="W12" s="2" t="b">
        <f>NOT(Table1[[#This Row],[Attendance_Bonus_Eligible]])</f>
        <v>0</v>
      </c>
      <c r="X12" s="2" t="b">
        <f>OR(Table1[[#This Row],[Salary]]&gt;=80000,Table1[[#This Row],[Projects_Completed]]&gt;=4)</f>
        <v>1</v>
      </c>
      <c r="Y12" s="2" t="str">
        <f>Table1[[#This Row],[Employee_Name]]&amp;"-"&amp;Table1[[#This Row],[Department]]</f>
        <v>Mia Martin-IT</v>
      </c>
      <c r="Z12" s="2" t="b">
        <f>AND(Table1[[#This Row],[Department]]="IT",Table1[[#This Row],[Salary]]&gt;70000)</f>
        <v>1</v>
      </c>
      <c r="AA12" s="2" t="b">
        <f>OR(Table1[[#This Row],[Department]]="FINANCE",Table1[[#This Row],[Salary]]&lt;60000)</f>
        <v>0</v>
      </c>
      <c r="AB12" s="2">
        <f>Table1[[#This Row],[Salary]]*5%</f>
        <v>4750</v>
      </c>
      <c r="AC12" s="3">
        <f>Table1[[#This Row],[Salary]]+Table1[[#This Row],[5%INCREASE]]</f>
        <v>99750</v>
      </c>
      <c r="AD12" s="3" t="b">
        <f>Table1[[#This Row],[PROPOSED SALARY]]&gt;80000</f>
        <v>1</v>
      </c>
      <c r="AE12" s="2" t="str">
        <f>IF(Table1[[#This Row],[Performance_Target_Met]]=1,"2000","0")</f>
        <v>2000</v>
      </c>
      <c r="AF12" s="2" t="b">
        <f>OR(Table1[[#This Row],[Attendance_Bonus_Eligible]]=1,Table1[[#This Row],[Performance_Target_Met]]=1,AND(Table1[[#This Row],[Salary]]&gt;=75000))</f>
        <v>1</v>
      </c>
    </row>
    <row r="13" spans="1:32" x14ac:dyDescent="0.3">
      <c r="A13" s="2">
        <v>1012</v>
      </c>
      <c r="B13" s="2" t="s">
        <v>29</v>
      </c>
      <c r="C13" s="2" t="s">
        <v>19</v>
      </c>
      <c r="D13" s="2" t="s">
        <v>20</v>
      </c>
      <c r="E13" s="3">
        <v>54000</v>
      </c>
      <c r="F13" s="4">
        <v>45078</v>
      </c>
      <c r="G13" s="2">
        <v>1</v>
      </c>
      <c r="H13" s="2">
        <v>1</v>
      </c>
      <c r="I13" s="2">
        <v>0</v>
      </c>
      <c r="J13" s="2">
        <v>0</v>
      </c>
      <c r="K13" s="8">
        <f t="shared" si="0"/>
        <v>4500</v>
      </c>
      <c r="L13" s="8">
        <f t="shared" si="1"/>
        <v>5400</v>
      </c>
      <c r="M13" s="9">
        <f>Table1[[#This Row],[Salary]]*8%</f>
        <v>4320</v>
      </c>
      <c r="N13" s="3">
        <f>Table1[[#This Row],[Salary]]-60000</f>
        <v>-6000</v>
      </c>
      <c r="O13" s="2">
        <f>Table1[[#This Row],[Projects_Completed]]*1500</f>
        <v>1500</v>
      </c>
      <c r="P13" s="2" t="b">
        <f>IF(Table1[[#This Row],[Salary]]&gt;80000,"true")</f>
        <v>0</v>
      </c>
      <c r="Q13" s="2" t="b">
        <f>IF(Table1[[#This Row],[Salary]]=75000,"TRUE")</f>
        <v>0</v>
      </c>
      <c r="R13" s="2" t="b">
        <f>Table1[[#This Row],[Salary]]&lt;&gt;70000</f>
        <v>1</v>
      </c>
      <c r="S13" s="2" t="b">
        <f>Table1[[#This Row],[Projects_Completed]]&gt;=4</f>
        <v>0</v>
      </c>
      <c r="T13" s="2" t="b">
        <f>Table1[[#This Row],[Training_Hours]]&lt;3</f>
        <v>1</v>
      </c>
      <c r="U13" s="2" t="str">
        <f>IF(AND(Table1[[#This Row],[Salary]]&gt;=75000,Table1[[#This Row],[Performance_Target_Met]]=1),"ELIGIBLE","NOT ELIGIBLE")</f>
        <v>NOT ELIGIBLE</v>
      </c>
      <c r="V13" s="2" t="str">
        <f>IF(OR(Table1[[#This Row],[Department]]="FINANCE",Table1[[#This Row],[Department]]="IT"),"ELIGIBLE","NOT ELIGIBLE")</f>
        <v>NOT ELIGIBLE</v>
      </c>
      <c r="W13" s="2" t="b">
        <f>NOT(Table1[[#This Row],[Attendance_Bonus_Eligible]])</f>
        <v>1</v>
      </c>
      <c r="X13" s="2" t="b">
        <f>OR(Table1[[#This Row],[Salary]]&gt;=80000,Table1[[#This Row],[Projects_Completed]]&gt;=4)</f>
        <v>0</v>
      </c>
      <c r="Y13" s="2" t="str">
        <f>Table1[[#This Row],[Employee_Name]]&amp;"-"&amp;Table1[[#This Row],[Department]]</f>
        <v>Noah Clark-HR</v>
      </c>
      <c r="Z13" s="2" t="b">
        <f>AND(Table1[[#This Row],[Department]]="IT",Table1[[#This Row],[Salary]]&gt;70000)</f>
        <v>0</v>
      </c>
      <c r="AA13" s="2" t="b">
        <f>OR(Table1[[#This Row],[Department]]="FINANCE",Table1[[#This Row],[Salary]]&lt;60000)</f>
        <v>1</v>
      </c>
      <c r="AB13" s="2">
        <f>Table1[[#This Row],[Salary]]*5%</f>
        <v>2700</v>
      </c>
      <c r="AC13" s="3">
        <f>Table1[[#This Row],[Salary]]+Table1[[#This Row],[5%INCREASE]]</f>
        <v>56700</v>
      </c>
      <c r="AD13" s="3" t="b">
        <f>Table1[[#This Row],[PROPOSED SALARY]]&gt;80000</f>
        <v>0</v>
      </c>
      <c r="AE13" s="2" t="str">
        <f>IF(Table1[[#This Row],[Performance_Target_Met]]=1,"2000","0")</f>
        <v>0</v>
      </c>
      <c r="AF13" s="2" t="b">
        <f>OR(Table1[[#This Row],[Attendance_Bonus_Eligible]]=1,Table1[[#This Row],[Performance_Target_Met]]=1,AND(Table1[[#This Row],[Salary]]&gt;=75000))</f>
        <v>0</v>
      </c>
    </row>
    <row r="14" spans="1:32" x14ac:dyDescent="0.3">
      <c r="A14" s="2">
        <v>1013</v>
      </c>
      <c r="B14" s="2" t="s">
        <v>30</v>
      </c>
      <c r="C14" s="2" t="s">
        <v>31</v>
      </c>
      <c r="D14" s="2" t="s">
        <v>32</v>
      </c>
      <c r="E14" s="3">
        <v>72000</v>
      </c>
      <c r="F14" s="4">
        <v>44088</v>
      </c>
      <c r="G14" s="2">
        <v>4</v>
      </c>
      <c r="H14" s="2">
        <v>2</v>
      </c>
      <c r="I14" s="2">
        <v>1</v>
      </c>
      <c r="J14" s="2">
        <v>1</v>
      </c>
      <c r="K14" s="8">
        <f t="shared" si="0"/>
        <v>6000</v>
      </c>
      <c r="L14" s="8">
        <f t="shared" si="1"/>
        <v>7200</v>
      </c>
      <c r="M14" s="9">
        <f>Table1[[#This Row],[Salary]]*8%</f>
        <v>5760</v>
      </c>
      <c r="N14" s="3">
        <f>Table1[[#This Row],[Salary]]-60000</f>
        <v>12000</v>
      </c>
      <c r="O14" s="2">
        <f>Table1[[#This Row],[Projects_Completed]]*1500</f>
        <v>6000</v>
      </c>
      <c r="P14" s="2" t="b">
        <f>IF(Table1[[#This Row],[Salary]]&gt;80000,"true")</f>
        <v>0</v>
      </c>
      <c r="Q14" s="2" t="b">
        <f>IF(Table1[[#This Row],[Salary]]=75000,"TRUE")</f>
        <v>0</v>
      </c>
      <c r="R14" s="2" t="b">
        <f>Table1[[#This Row],[Salary]]&lt;&gt;70000</f>
        <v>1</v>
      </c>
      <c r="S14" s="2" t="b">
        <f>Table1[[#This Row],[Projects_Completed]]&gt;=4</f>
        <v>1</v>
      </c>
      <c r="T14" s="2" t="b">
        <f>Table1[[#This Row],[Training_Hours]]&lt;3</f>
        <v>1</v>
      </c>
      <c r="U14" s="2" t="str">
        <f>IF(AND(Table1[[#This Row],[Salary]]&gt;=75000,Table1[[#This Row],[Performance_Target_Met]]=1),"ELIGIBLE","NOT ELIGIBLE")</f>
        <v>NOT ELIGIBLE</v>
      </c>
      <c r="V14" s="2" t="str">
        <f>IF(OR(Table1[[#This Row],[Department]]="FINANCE",Table1[[#This Row],[Department]]="IT"),"ELIGIBLE","NOT ELIGIBLE")</f>
        <v>NOT ELIGIBLE</v>
      </c>
      <c r="W14" s="2" t="b">
        <f>NOT(Table1[[#This Row],[Attendance_Bonus_Eligible]])</f>
        <v>0</v>
      </c>
      <c r="X14" s="2" t="b">
        <f>OR(Table1[[#This Row],[Salary]]&gt;=80000,Table1[[#This Row],[Projects_Completed]]&gt;=4)</f>
        <v>1</v>
      </c>
      <c r="Y14" s="2" t="str">
        <f>Table1[[#This Row],[Employee_Name]]&amp;"-"&amp;Table1[[#This Row],[Department]]</f>
        <v>Isabella Lewis-Sales</v>
      </c>
      <c r="Z14" s="2" t="b">
        <f>AND(Table1[[#This Row],[Department]]="IT",Table1[[#This Row],[Salary]]&gt;70000)</f>
        <v>0</v>
      </c>
      <c r="AA14" s="2" t="b">
        <f>OR(Table1[[#This Row],[Department]]="FINANCE",Table1[[#This Row],[Salary]]&lt;60000)</f>
        <v>0</v>
      </c>
      <c r="AB14" s="2">
        <f>Table1[[#This Row],[Salary]]*5%</f>
        <v>3600</v>
      </c>
      <c r="AC14" s="3">
        <f>Table1[[#This Row],[Salary]]+Table1[[#This Row],[5%INCREASE]]</f>
        <v>75600</v>
      </c>
      <c r="AD14" s="3" t="b">
        <f>Table1[[#This Row],[PROPOSED SALARY]]&gt;80000</f>
        <v>0</v>
      </c>
      <c r="AE14" s="2" t="str">
        <f>IF(Table1[[#This Row],[Performance_Target_Met]]=1,"2000","0")</f>
        <v>2000</v>
      </c>
      <c r="AF14" s="2" t="b">
        <f>OR(Table1[[#This Row],[Attendance_Bonus_Eligible]]=1,Table1[[#This Row],[Performance_Target_Met]]=1,AND(Table1[[#This Row],[Salary]]&gt;=75000))</f>
        <v>1</v>
      </c>
    </row>
    <row r="15" spans="1:32" x14ac:dyDescent="0.3">
      <c r="A15" s="2">
        <v>1014</v>
      </c>
      <c r="B15" s="2" t="s">
        <v>33</v>
      </c>
      <c r="C15" s="2" t="s">
        <v>31</v>
      </c>
      <c r="D15" s="2" t="s">
        <v>32</v>
      </c>
      <c r="E15" s="3">
        <v>81000</v>
      </c>
      <c r="F15" s="4">
        <v>43038</v>
      </c>
      <c r="G15" s="2">
        <v>3</v>
      </c>
      <c r="H15" s="2">
        <v>3</v>
      </c>
      <c r="I15" s="2">
        <v>0</v>
      </c>
      <c r="J15" s="2">
        <v>1</v>
      </c>
      <c r="K15" s="8">
        <f t="shared" si="0"/>
        <v>6750</v>
      </c>
      <c r="L15" s="8">
        <f t="shared" si="1"/>
        <v>8100</v>
      </c>
      <c r="M15" s="9">
        <f>Table1[[#This Row],[Salary]]*8%</f>
        <v>6480</v>
      </c>
      <c r="N15" s="3">
        <f>Table1[[#This Row],[Salary]]-60000</f>
        <v>21000</v>
      </c>
      <c r="O15" s="2">
        <f>Table1[[#This Row],[Projects_Completed]]*1500</f>
        <v>4500</v>
      </c>
      <c r="P15" s="2" t="str">
        <f>IF(Table1[[#This Row],[Salary]]&gt;80000,"true")</f>
        <v>true</v>
      </c>
      <c r="Q15" s="2" t="b">
        <f>IF(Table1[[#This Row],[Salary]]=75000,"TRUE")</f>
        <v>0</v>
      </c>
      <c r="R15" s="2" t="b">
        <f>Table1[[#This Row],[Salary]]&lt;&gt;70000</f>
        <v>1</v>
      </c>
      <c r="S15" s="2" t="b">
        <f>Table1[[#This Row],[Projects_Completed]]&gt;=4</f>
        <v>0</v>
      </c>
      <c r="T15" s="2" t="b">
        <f>Table1[[#This Row],[Training_Hours]]&lt;3</f>
        <v>0</v>
      </c>
      <c r="U15" s="2" t="str">
        <f>IF(AND(Table1[[#This Row],[Salary]]&gt;=75000,Table1[[#This Row],[Performance_Target_Met]]=1),"ELIGIBLE","NOT ELIGIBLE")</f>
        <v>ELIGIBLE</v>
      </c>
      <c r="V15" s="2" t="str">
        <f>IF(OR(Table1[[#This Row],[Department]]="FINANCE",Table1[[#This Row],[Department]]="IT"),"ELIGIBLE","NOT ELIGIBLE")</f>
        <v>NOT ELIGIBLE</v>
      </c>
      <c r="W15" s="2" t="b">
        <f>NOT(Table1[[#This Row],[Attendance_Bonus_Eligible]])</f>
        <v>1</v>
      </c>
      <c r="X15" s="2" t="b">
        <f>OR(Table1[[#This Row],[Salary]]&gt;=80000,Table1[[#This Row],[Projects_Completed]]&gt;=4)</f>
        <v>1</v>
      </c>
      <c r="Y15" s="2" t="str">
        <f>Table1[[#This Row],[Employee_Name]]&amp;"-"&amp;Table1[[#This Row],[Department]]</f>
        <v>Ethan Walker-Sales</v>
      </c>
      <c r="Z15" s="2" t="b">
        <f>AND(Table1[[#This Row],[Department]]="IT",Table1[[#This Row],[Salary]]&gt;70000)</f>
        <v>0</v>
      </c>
      <c r="AA15" s="2" t="b">
        <f>OR(Table1[[#This Row],[Department]]="FINANCE",Table1[[#This Row],[Salary]]&lt;60000)</f>
        <v>0</v>
      </c>
      <c r="AB15" s="2">
        <f>Table1[[#This Row],[Salary]]*5%</f>
        <v>4050</v>
      </c>
      <c r="AC15" s="3">
        <f>Table1[[#This Row],[Salary]]+Table1[[#This Row],[5%INCREASE]]</f>
        <v>85050</v>
      </c>
      <c r="AD15" s="3" t="b">
        <f>Table1[[#This Row],[PROPOSED SALARY]]&gt;80000</f>
        <v>1</v>
      </c>
      <c r="AE15" s="2" t="str">
        <f>IF(Table1[[#This Row],[Performance_Target_Met]]=1,"2000","0")</f>
        <v>2000</v>
      </c>
      <c r="AF15" s="2" t="b">
        <f>OR(Table1[[#This Row],[Attendance_Bonus_Eligible]]=1,Table1[[#This Row],[Performance_Target_Met]]=1,AND(Table1[[#This Row],[Salary]]&gt;=75000))</f>
        <v>1</v>
      </c>
    </row>
    <row r="16" spans="1:32" x14ac:dyDescent="0.3">
      <c r="A16" s="2">
        <v>1015</v>
      </c>
      <c r="B16" s="2" t="s">
        <v>34</v>
      </c>
      <c r="C16" s="2" t="s">
        <v>11</v>
      </c>
      <c r="D16" s="2" t="s">
        <v>12</v>
      </c>
      <c r="E16" s="3">
        <v>66000</v>
      </c>
      <c r="F16" s="4">
        <v>44585</v>
      </c>
      <c r="G16" s="2">
        <v>2</v>
      </c>
      <c r="H16" s="2">
        <v>2</v>
      </c>
      <c r="I16" s="2">
        <v>1</v>
      </c>
      <c r="J16" s="2">
        <v>0</v>
      </c>
      <c r="K16" s="8">
        <f t="shared" si="0"/>
        <v>5500</v>
      </c>
      <c r="L16" s="8">
        <f t="shared" si="1"/>
        <v>6600</v>
      </c>
      <c r="M16" s="9">
        <f>Table1[[#This Row],[Salary]]*8%</f>
        <v>5280</v>
      </c>
      <c r="N16" s="3">
        <f>Table1[[#This Row],[Salary]]-60000</f>
        <v>6000</v>
      </c>
      <c r="O16" s="2">
        <f>Table1[[#This Row],[Projects_Completed]]*1500</f>
        <v>3000</v>
      </c>
      <c r="P16" s="2" t="b">
        <f>IF(Table1[[#This Row],[Salary]]&gt;80000,"true")</f>
        <v>0</v>
      </c>
      <c r="Q16" s="2" t="b">
        <f>IF(Table1[[#This Row],[Salary]]=75000,"TRUE")</f>
        <v>0</v>
      </c>
      <c r="R16" s="2" t="b">
        <f>Table1[[#This Row],[Salary]]&lt;&gt;70000</f>
        <v>1</v>
      </c>
      <c r="S16" s="2" t="b">
        <f>Table1[[#This Row],[Projects_Completed]]&gt;=4</f>
        <v>0</v>
      </c>
      <c r="T16" s="2" t="b">
        <f>Table1[[#This Row],[Training_Hours]]&lt;3</f>
        <v>1</v>
      </c>
      <c r="U16" s="2" t="str">
        <f>IF(AND(Table1[[#This Row],[Salary]]&gt;=75000,Table1[[#This Row],[Performance_Target_Met]]=1),"ELIGIBLE","NOT ELIGIBLE")</f>
        <v>NOT ELIGIBLE</v>
      </c>
      <c r="V16" s="2" t="str">
        <f>IF(OR(Table1[[#This Row],[Department]]="FINANCE",Table1[[#This Row],[Department]]="IT"),"ELIGIBLE","NOT ELIGIBLE")</f>
        <v>ELIGIBLE</v>
      </c>
      <c r="W16" s="2" t="b">
        <f>NOT(Table1[[#This Row],[Attendance_Bonus_Eligible]])</f>
        <v>0</v>
      </c>
      <c r="X16" s="2" t="b">
        <f>OR(Table1[[#This Row],[Salary]]&gt;=80000,Table1[[#This Row],[Projects_Completed]]&gt;=4)</f>
        <v>0</v>
      </c>
      <c r="Y16" s="2" t="str">
        <f>Table1[[#This Row],[Employee_Name]]&amp;"-"&amp;Table1[[#This Row],[Department]]</f>
        <v>Amelia Hall-Finance</v>
      </c>
      <c r="Z16" s="2" t="b">
        <f>AND(Table1[[#This Row],[Department]]="IT",Table1[[#This Row],[Salary]]&gt;70000)</f>
        <v>0</v>
      </c>
      <c r="AA16" s="2" t="b">
        <f>OR(Table1[[#This Row],[Department]]="FINANCE",Table1[[#This Row],[Salary]]&lt;60000)</f>
        <v>1</v>
      </c>
      <c r="AB16" s="2">
        <f>Table1[[#This Row],[Salary]]*5%</f>
        <v>3300</v>
      </c>
      <c r="AC16" s="3">
        <f>Table1[[#This Row],[Salary]]+Table1[[#This Row],[5%INCREASE]]</f>
        <v>69300</v>
      </c>
      <c r="AD16" s="3" t="b">
        <f>Table1[[#This Row],[PROPOSED SALARY]]&gt;80000</f>
        <v>0</v>
      </c>
      <c r="AE16" s="2" t="str">
        <f>IF(Table1[[#This Row],[Performance_Target_Met]]=1,"2000","0")</f>
        <v>0</v>
      </c>
      <c r="AF16" s="2" t="b">
        <f>OR(Table1[[#This Row],[Attendance_Bonus_Eligible]]=1,Table1[[#This Row],[Performance_Target_Met]]=1,AND(Table1[[#This Row],[Salary]]&gt;=75000))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9" activePane="bottomLeft" state="frozen"/>
      <selection pane="bottomLeft" activeCell="C20" sqref="C20"/>
    </sheetView>
  </sheetViews>
  <sheetFormatPr defaultRowHeight="14.4" x14ac:dyDescent="0.3"/>
  <cols>
    <col min="1" max="2" width="14" customWidth="1"/>
    <col min="3" max="3" width="58" customWidth="1"/>
    <col min="4" max="4" width="35" customWidth="1"/>
  </cols>
  <sheetData>
    <row r="1" spans="1:4" ht="30" customHeight="1" x14ac:dyDescent="0.3">
      <c r="A1" s="1" t="s">
        <v>35</v>
      </c>
      <c r="B1" s="1" t="s">
        <v>36</v>
      </c>
      <c r="C1" s="1" t="s">
        <v>37</v>
      </c>
      <c r="D1" s="1" t="s">
        <v>38</v>
      </c>
    </row>
    <row r="2" spans="1:4" ht="28.8" x14ac:dyDescent="0.3">
      <c r="A2" s="2">
        <v>1</v>
      </c>
      <c r="B2" s="2" t="s">
        <v>39</v>
      </c>
      <c r="C2" s="2" t="s">
        <v>40</v>
      </c>
      <c r="D2" s="2" t="s">
        <v>41</v>
      </c>
    </row>
    <row r="3" spans="1:4" x14ac:dyDescent="0.3">
      <c r="A3" s="2">
        <v>2</v>
      </c>
      <c r="B3" s="2" t="s">
        <v>39</v>
      </c>
      <c r="C3" s="2" t="s">
        <v>42</v>
      </c>
      <c r="D3" s="2" t="s">
        <v>43</v>
      </c>
    </row>
    <row r="4" spans="1:4" x14ac:dyDescent="0.3">
      <c r="A4" s="2">
        <v>3</v>
      </c>
      <c r="B4" s="2" t="s">
        <v>39</v>
      </c>
      <c r="C4" s="2" t="s">
        <v>44</v>
      </c>
      <c r="D4" s="2" t="s">
        <v>43</v>
      </c>
    </row>
    <row r="5" spans="1:4" x14ac:dyDescent="0.3">
      <c r="A5" s="2">
        <v>4</v>
      </c>
      <c r="B5" s="2" t="s">
        <v>39</v>
      </c>
      <c r="C5" s="2" t="s">
        <v>45</v>
      </c>
      <c r="D5" s="2" t="s">
        <v>46</v>
      </c>
    </row>
    <row r="6" spans="1:4" x14ac:dyDescent="0.3">
      <c r="A6" s="2">
        <v>5</v>
      </c>
      <c r="B6" s="2" t="s">
        <v>39</v>
      </c>
      <c r="C6" s="2" t="s">
        <v>47</v>
      </c>
      <c r="D6" s="2" t="s">
        <v>43</v>
      </c>
    </row>
    <row r="7" spans="1:4" x14ac:dyDescent="0.3">
      <c r="A7" s="2">
        <v>6</v>
      </c>
      <c r="B7" s="2" t="s">
        <v>48</v>
      </c>
      <c r="C7" s="2" t="s">
        <v>49</v>
      </c>
      <c r="D7" s="2" t="s">
        <v>50</v>
      </c>
    </row>
    <row r="8" spans="1:4" x14ac:dyDescent="0.3">
      <c r="A8" s="2">
        <v>7</v>
      </c>
      <c r="B8" s="2" t="s">
        <v>48</v>
      </c>
      <c r="C8" s="2" t="s">
        <v>51</v>
      </c>
      <c r="D8" s="2" t="s">
        <v>52</v>
      </c>
    </row>
    <row r="9" spans="1:4" x14ac:dyDescent="0.3">
      <c r="A9" s="2">
        <v>8</v>
      </c>
      <c r="B9" s="2" t="s">
        <v>48</v>
      </c>
      <c r="C9" s="2" t="s">
        <v>53</v>
      </c>
      <c r="D9" s="2" t="s">
        <v>54</v>
      </c>
    </row>
    <row r="10" spans="1:4" x14ac:dyDescent="0.3">
      <c r="A10" s="2">
        <v>9</v>
      </c>
      <c r="B10" s="2" t="s">
        <v>48</v>
      </c>
      <c r="C10" s="2" t="s">
        <v>55</v>
      </c>
      <c r="D10" s="2" t="s">
        <v>56</v>
      </c>
    </row>
    <row r="11" spans="1:4" x14ac:dyDescent="0.3">
      <c r="A11" s="2">
        <v>10</v>
      </c>
      <c r="B11" s="2" t="s">
        <v>48</v>
      </c>
      <c r="C11" s="2" t="s">
        <v>57</v>
      </c>
      <c r="D11" s="2" t="s">
        <v>58</v>
      </c>
    </row>
    <row r="12" spans="1:4" ht="28.8" x14ac:dyDescent="0.3">
      <c r="A12" s="2">
        <v>11</v>
      </c>
      <c r="B12" s="2" t="s">
        <v>59</v>
      </c>
      <c r="C12" s="2" t="s">
        <v>60</v>
      </c>
      <c r="D12" s="2" t="s">
        <v>61</v>
      </c>
    </row>
    <row r="13" spans="1:4" x14ac:dyDescent="0.3">
      <c r="A13" s="2">
        <v>12</v>
      </c>
      <c r="B13" s="2" t="s">
        <v>59</v>
      </c>
      <c r="C13" s="2" t="s">
        <v>62</v>
      </c>
      <c r="D13" s="2" t="s">
        <v>63</v>
      </c>
    </row>
    <row r="14" spans="1:4" x14ac:dyDescent="0.3">
      <c r="A14" s="2">
        <v>13</v>
      </c>
      <c r="B14" s="2" t="s">
        <v>59</v>
      </c>
      <c r="C14" s="2" t="s">
        <v>64</v>
      </c>
      <c r="D14" s="2" t="s">
        <v>65</v>
      </c>
    </row>
    <row r="15" spans="1:4" ht="28.8" x14ac:dyDescent="0.3">
      <c r="A15" s="2">
        <v>14</v>
      </c>
      <c r="B15" s="2" t="s">
        <v>59</v>
      </c>
      <c r="C15" s="2" t="s">
        <v>66</v>
      </c>
      <c r="D15" s="2" t="s">
        <v>63</v>
      </c>
    </row>
    <row r="16" spans="1:4" ht="28.8" x14ac:dyDescent="0.3">
      <c r="A16" s="2">
        <v>15</v>
      </c>
      <c r="B16" s="2" t="s">
        <v>67</v>
      </c>
      <c r="C16" s="2" t="s">
        <v>68</v>
      </c>
      <c r="D16" s="2" t="s">
        <v>69</v>
      </c>
    </row>
    <row r="17" spans="1:4" ht="28.8" x14ac:dyDescent="0.3">
      <c r="A17" s="2">
        <v>16</v>
      </c>
      <c r="B17" s="2" t="s">
        <v>70</v>
      </c>
      <c r="C17" s="2" t="s">
        <v>71</v>
      </c>
      <c r="D17" s="2" t="s">
        <v>72</v>
      </c>
    </row>
    <row r="18" spans="1:4" x14ac:dyDescent="0.3">
      <c r="A18" s="2">
        <v>17</v>
      </c>
      <c r="B18" s="2" t="s">
        <v>70</v>
      </c>
      <c r="C18" s="2" t="s">
        <v>73</v>
      </c>
      <c r="D18" s="2" t="s">
        <v>74</v>
      </c>
    </row>
    <row r="19" spans="1:4" ht="28.8" x14ac:dyDescent="0.3">
      <c r="A19" s="2">
        <v>18</v>
      </c>
      <c r="B19" s="2" t="s">
        <v>70</v>
      </c>
      <c r="C19" s="2" t="s">
        <v>75</v>
      </c>
      <c r="D19" s="2" t="s">
        <v>76</v>
      </c>
    </row>
    <row r="20" spans="1:4" ht="43.2" x14ac:dyDescent="0.3">
      <c r="A20" s="2">
        <v>19</v>
      </c>
      <c r="B20" s="2" t="s">
        <v>70</v>
      </c>
      <c r="C20" s="2" t="s">
        <v>77</v>
      </c>
      <c r="D20" s="2" t="s">
        <v>78</v>
      </c>
    </row>
    <row r="21" spans="1:4" ht="28.8" x14ac:dyDescent="0.3">
      <c r="A21" s="2">
        <v>20</v>
      </c>
      <c r="B21" s="2" t="s">
        <v>70</v>
      </c>
      <c r="C21" s="2" t="s">
        <v>79</v>
      </c>
      <c r="D21" s="2" t="s">
        <v>80</v>
      </c>
    </row>
  </sheetData>
  <autoFilter ref="A1:D21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58" customWidth="1"/>
  </cols>
  <sheetData>
    <row r="1" spans="1:1" ht="30" customHeight="1" x14ac:dyDescent="0.3">
      <c r="A1" s="1" t="s">
        <v>81</v>
      </c>
    </row>
    <row r="2" spans="1:1" ht="28.8" x14ac:dyDescent="0.3">
      <c r="A2" s="2" t="s">
        <v>82</v>
      </c>
    </row>
    <row r="3" spans="1:1" ht="28.8" x14ac:dyDescent="0.3">
      <c r="A3" s="2" t="s">
        <v>83</v>
      </c>
    </row>
    <row r="4" spans="1:1" ht="28.8" x14ac:dyDescent="0.3">
      <c r="A4" s="2" t="s">
        <v>84</v>
      </c>
    </row>
    <row r="5" spans="1:1" ht="28.8" x14ac:dyDescent="0.3">
      <c r="A5" s="2" t="s">
        <v>85</v>
      </c>
    </row>
    <row r="6" spans="1:1" ht="28.8" x14ac:dyDescent="0.3">
      <c r="A6" s="2" t="s">
        <v>86</v>
      </c>
    </row>
    <row r="7" spans="1:1" x14ac:dyDescent="0.3">
      <c r="A7" s="2" t="s">
        <v>87</v>
      </c>
    </row>
  </sheetData>
  <autoFilter ref="A1:A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ANSWERS</vt:lpstr>
      <vt:lpstr>Homework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Fathima Rumana</cp:lastModifiedBy>
  <dcterms:created xsi:type="dcterms:W3CDTF">2026-10-09T17:08:42Z</dcterms:created>
  <dcterms:modified xsi:type="dcterms:W3CDTF">2026-10-29T10:31:51Z</dcterms:modified>
</cp:coreProperties>
</file>